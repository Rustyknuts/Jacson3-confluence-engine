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Watchlist" sheetId="1" state="visible" r:id="rId3"/>
    <sheet name="TV_Imports" sheetId="2" state="visible" r:id="rId4"/>
    <sheet name="STRC_Income" sheetId="3" state="visible" r:id="rId5"/>
    <sheet name="Macro_Theses" sheetId="4" state="visible" r:id="rId6"/>
    <sheet name="Jacson3_Holdings" sheetId="5" state="visible" r:id="rId7"/>
    <sheet name="Personal_Hold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1" authorId="0">
      <text>
        <r>
          <rPr>
            <sz val="10"/>
            <rFont val="Arial"/>
            <family val="2"/>
          </rPr>
          <t xml:space="preserve">Price intentionally left blank. Search results for CEN returned conflicting, undated figures (NZ$8.75-$9.98 range across sources) -- not a single auditable live print. Per the &lt;1hr data-age rule, enter the actual NZX last price from TradingView here rather than a search-derived estimate.</t>
        </r>
      </text>
    </comment>
    <comment ref="D32" authorId="0">
      <text>
        <r>
          <rPr>
            <sz val="10"/>
            <rFont val="Arial"/>
            <family val="2"/>
          </rPr>
          <t xml:space="preserve">Price intentionally left blank. Search results for MEL returned conflicting figures (NZ$5.67-$6.03 across sources dated mid-to-late June 2026) -- not a single auditable live print. Enter the actual NZX last price from TradingView here.</t>
        </r>
      </text>
    </comment>
    <comment ref="D33" authorId="0">
      <text>
        <r>
          <rPr>
            <sz val="10"/>
            <rFont val="Arial"/>
            <family val="2"/>
          </rPr>
          <t xml:space="preserve">Price intentionally left blank, consistent with CEN/MEL — no single trustworthy timestamped quote sourced yet. Named in the Investor Profile (Medium term other) but was missing from this sheet; added here as Active Trailing per the Technical Specification.</t>
        </r>
      </text>
    </comment>
    <comment ref="O1" authorId="0">
      <text>
        <r>
          <rPr>
            <sz val="10"/>
            <rFont val="Arial"/>
            <family val="2"/>
          </rPr>
          <t xml:space="preserve">Core Accumulation: no tight stop; wide stop calibrated below VRVP POC with a buffer (thesis-failure backstop, not a trading trigger). Active Trailing: standard Tight (1.5xATR) / Wide (2.5xATR) stops. See Technical Specification §2 for the full rule. Set once at purchase; change only deliberately.</t>
        </r>
      </text>
    </comment>
    <comment ref="P1" authorId="0">
      <text>
        <r>
          <rPr>
            <sz val="10"/>
            <rFont val="Arial"/>
            <family val="2"/>
          </rPr>
          <t xml:space="preserve">Manual entry or TradingView webhook only. Enter exactly: Bullish, Neutral, or Bearish. Never compute this from price data in this sheet — Larsson Line is CTO Larsson's proprietary indicator; record its reported chart state only.</t>
        </r>
      </text>
    </comment>
    <comment ref="Q1" authorId="0">
      <text>
        <r>
          <rPr>
            <sz val="10"/>
            <rFont val="Arial"/>
            <family val="2"/>
          </rPr>
          <t xml:space="preserve">Free-form for now (decided, not an oversight) -- standardizing to Bullish/Neutral/Bearish was deferred until Phase 2 (Pine Script) clarifies what the alert/webhook payload actually needs. See CHECKLISTS/01-data-layer.md.</t>
        </r>
      </text>
    </comment>
    <comment ref="Q2" authorId="0">
      <text>
        <r>
          <rPr>
            <sz val="10"/>
            <rFont val="Arial"/>
            <family val="2"/>
          </rPr>
          <t xml:space="preserve">PRIME BUY USD
HOLD NZD</t>
        </r>
      </text>
    </comment>
    <comment ref="Q3" authorId="0">
      <text>
        <r>
          <rPr>
            <sz val="10"/>
            <rFont val="Arial"/>
            <family val="2"/>
          </rPr>
          <t xml:space="preserve">NZD/AUD Timing</t>
        </r>
      </text>
    </comment>
    <comment ref="Q4" authorId="0">
      <text>
        <r>
          <rPr>
            <sz val="10"/>
            <rFont val="Arial"/>
            <family val="2"/>
          </rPr>
          <t xml:space="preserve">WTI Crude (USO) Signal</t>
        </r>
      </text>
    </comment>
    <comment ref="Q5" authorId="0">
      <text>
        <r>
          <rPr>
            <sz val="10"/>
            <rFont val="Arial"/>
            <family val="2"/>
          </rPr>
          <t xml:space="preserve">Copper (COPX) Signal</t>
        </r>
      </text>
    </comment>
    <comment ref="R1" authorId="0">
      <text>
        <r>
          <rPr>
            <sz val="10"/>
            <rFont val="Arial"/>
            <family val="2"/>
          </rPr>
          <t xml:space="preserve">Free-form for now -- same deferral as column Q. See CHECKLISTS/01-data-layer.md.</t>
        </r>
      </text>
    </comment>
    <comment ref="S1" authorId="0">
      <text>
        <r>
          <rPr>
            <sz val="10"/>
            <rFont val="Arial"/>
            <family val="2"/>
          </rPr>
          <t xml:space="preserve">Free-form for now -- same deferral as column Q. See CHECKLISTS/01-data-layer.md.</t>
        </r>
      </text>
    </comment>
    <comment ref="U1" authorId="0">
      <text>
        <r>
          <rPr>
            <sz val="10"/>
            <rFont val="Arial"/>
            <family val="2"/>
          </rPr>
          <t xml:space="preserve">Interim formula: weights Larsson Line (O) x2 and Global Analyst Macro (L) x2 — the two Bullish/Neutral/Bearish text signals available in this sheet today. RSI/Bollinger/VRVP/Pattern (P-S) are present as entry columns but not yet wired into the score since they are not stored as a standardised Bullish/Neutral/Bearish read here. Extend the T formula once they are. Full weighting spec: Addendum A, Section 3.3.</t>
        </r>
      </text>
    </comment>
    <comment ref="X1" authorId="0">
      <text>
        <r>
          <rPr>
            <sz val="10"/>
            <rFont val="Arial"/>
            <family val="2"/>
          </rPr>
          <t xml:space="preserve">Relocated from P1 to W1 to make room for the Confluence Engine columns (O-U) added per Addendum A, Section 4. Internal formula references were updated accordingly (Q-&gt;X, R-&gt;Y, S-&gt;Z).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Jacson3 Ltd company holdings. Sources: Sharesight portfolios 'Jacson3 Sharesies' and 'Jacson3 Crypto' (both confirmed active). 'Jacson3 ASB Securities' exists in Sharesight but is pending a cleanup decision (reportedly sold down to empty) -- exclude it from this tab until that's resolved; see CHECKLISTS. Populate Ticker, Sharesight Portfolio, Quantity, Average Cost, Current Value, and Annualised Return from the Sharesight API once connected -- do not rebuild XIRR math here, pull Sharesight's own computed annualised return per Technical Specification §5.5.</t>
        </r>
      </text>
    </comment>
    <comment ref="I1" authorId="0">
      <text>
        <r>
          <rPr>
            <sz val="10"/>
            <rFont val="Arial"/>
            <family val="2"/>
          </rPr>
          <t xml:space="preserve">Use =VLOOKUP or XLOOKUP against Master_Watchlist column A to pull Holding Status, Tight/Wide Stop, Confluence Score, etc. for this ticker. Don't duplicate that data here -- look it up, so there is exactly one source of truth per ticker for technical/WSAPT data.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Personal holdings outside the Jacson3 entity. Source: Moomoo, to be connected via Sharesight's direct Moomoo integration (same mechanism as Sharesies) as a new Sharesight portfolio -- suggested name 'Personal Moomoo' to match the existing 'Jacson3 ___' naming convention. Not yet connected as of this revision. Populate Ticker, Sharesight Portfolio, Quantity, Average Cost, Current Value, and Annualised Return from the Sharesight API once connected -- do not rebuild XIRR math here, pull Sharesight's own computed annualised return per Technical Specification §5.5.</t>
        </r>
      </text>
    </comment>
    <comment ref="I1" authorId="0">
      <text>
        <r>
          <rPr>
            <sz val="10"/>
            <rFont val="Arial"/>
            <family val="2"/>
          </rPr>
          <t xml:space="preserve">Use =VLOOKUP or XLOOKUP against Master_Watchlist column A to pull Holding Status, Tight/Wide Stop, Confluence Score, etc. for this ticker. Don't duplicate that data here -- look it up, so there is exactly one source of truth per ticker for technical/WSAPT data.</t>
        </r>
      </text>
    </comment>
  </commentList>
</comments>
</file>

<file path=xl/sharedStrings.xml><?xml version="1.0" encoding="utf-8"?>
<sst xmlns="http://schemas.openxmlformats.org/spreadsheetml/2006/main" count="247" uniqueCount="112">
  <si>
    <t xml:space="preserve">Ticker</t>
  </si>
  <si>
    <t xml:space="preserve">Asset Name</t>
  </si>
  <si>
    <t xml:space="preserve">Category (Crypto / Tech Share / Regional Utility)</t>
  </si>
  <si>
    <t xml:space="preserve">Latest Close</t>
  </si>
  <si>
    <t xml:space="preserve">Peak Price</t>
  </si>
  <si>
    <t xml:space="preserve">Daily ATR (14)</t>
  </si>
  <si>
    <t xml:space="preserve">Tight Stop (Preservation)</t>
  </si>
  <si>
    <t xml:space="preserve">Wide Stop (Trend Defender)</t>
  </si>
  <si>
    <t xml:space="preserve">Accumulation 1 (Pullback)</t>
  </si>
  <si>
    <t xml:space="preserve">Accumulation 2 (POC)</t>
  </si>
  <si>
    <t xml:space="preserve">PE Analyst Fundamentals</t>
  </si>
  <si>
    <t xml:space="preserve">Global Analyst Macro</t>
  </si>
  <si>
    <t xml:space="preserve">Last Import Timestamp</t>
  </si>
  <si>
    <t xml:space="preserve">Data Status</t>
  </si>
  <si>
    <t xml:space="preserve">Holding Status</t>
  </si>
  <si>
    <t xml:space="preserve">Larsson Line Signal</t>
  </si>
  <si>
    <t xml:space="preserve">RSI (14)</t>
  </si>
  <si>
    <t xml:space="preserve">Bollinger Position</t>
  </si>
  <si>
    <t xml:space="preserve">VRVP POC Distance</t>
  </si>
  <si>
    <t xml:space="preserve">Pattern Note</t>
  </si>
  <si>
    <t xml:space="preserve">Confluence Score</t>
  </si>
  <si>
    <t xml:space="preserve">Confluence Read</t>
  </si>
  <si>
    <t xml:space="preserve">Label</t>
  </si>
  <si>
    <t xml:space="preserve">current price</t>
  </si>
  <si>
    <t xml:space="preserve">50-day SMA</t>
  </si>
  <si>
    <t xml:space="preserve">Trend Timing &amp; Strategy Signal</t>
  </si>
  <si>
    <t xml:space="preserve">BTC</t>
  </si>
  <si>
    <t xml:space="preserve">Bitcoin</t>
  </si>
  <si>
    <t xml:space="preserve">Crypto</t>
  </si>
  <si>
    <t xml:space="preserve">N/A</t>
  </si>
  <si>
    <t xml:space="preserve">Bullish</t>
  </si>
  <si>
    <t xml:space="preserve">Core Accumulation</t>
  </si>
  <si>
    <t xml:space="preserve">NZD / USD</t>
  </si>
  <si>
    <t xml:space="preserve">ETH</t>
  </si>
  <si>
    <t xml:space="preserve">Ethereum</t>
  </si>
  <si>
    <t xml:space="preserve">Active Trailing</t>
  </si>
  <si>
    <t xml:space="preserve">NZD / AUD</t>
  </si>
  <si>
    <t xml:space="preserve">GRT</t>
  </si>
  <si>
    <t xml:space="preserve">Neutral</t>
  </si>
  <si>
    <t xml:space="preserve">WTI Crude Oil</t>
  </si>
  <si>
    <t xml:space="preserve">HNT</t>
  </si>
  <si>
    <t xml:space="preserve">Copper (Infrastructure)</t>
  </si>
  <si>
    <t xml:space="preserve">HYPE</t>
  </si>
  <si>
    <t xml:space="preserve">Gold (Liquidity)</t>
  </si>
  <si>
    <t xml:space="preserve">JUP</t>
  </si>
  <si>
    <t xml:space="preserve">NOS</t>
  </si>
  <si>
    <t xml:space="preserve">PYTH</t>
  </si>
  <si>
    <t xml:space="preserve">RAY</t>
  </si>
  <si>
    <t xml:space="preserve">SKR</t>
  </si>
  <si>
    <t xml:space="preserve">SOL</t>
  </si>
  <si>
    <t xml:space="preserve">SUI</t>
  </si>
  <si>
    <t xml:space="preserve">EXC</t>
  </si>
  <si>
    <t xml:space="preserve">Exelon Corp.</t>
  </si>
  <si>
    <t xml:space="preserve">Regional Utility</t>
  </si>
  <si>
    <t xml:space="preserve">Stable</t>
  </si>
  <si>
    <t xml:space="preserve">Defensive</t>
  </si>
  <si>
    <t xml:space="preserve">AAPL</t>
  </si>
  <si>
    <t xml:space="preserve">Apple Inc.</t>
  </si>
  <si>
    <t xml:space="preserve">Tech Share</t>
  </si>
  <si>
    <t xml:space="preserve">Strong Buy</t>
  </si>
  <si>
    <t xml:space="preserve">ALAB</t>
  </si>
  <si>
    <t xml:space="preserve">Astera Labs, Inc</t>
  </si>
  <si>
    <t xml:space="preserve">Buy</t>
  </si>
  <si>
    <t xml:space="preserve">AMD</t>
  </si>
  <si>
    <t xml:space="preserve">Advanced Micro Devices Inc</t>
  </si>
  <si>
    <t xml:space="preserve">AMZN</t>
  </si>
  <si>
    <t xml:space="preserve">Amazon.com Inc</t>
  </si>
  <si>
    <t xml:space="preserve">AVGO</t>
  </si>
  <si>
    <t xml:space="preserve">Broadcom Inc</t>
  </si>
  <si>
    <t xml:space="preserve">GOOG</t>
  </si>
  <si>
    <t xml:space="preserve">Alphabet Inc Class C</t>
  </si>
  <si>
    <t xml:space="preserve">IAA</t>
  </si>
  <si>
    <t xml:space="preserve">iShares Asia 50 AUD ETF</t>
  </si>
  <si>
    <t xml:space="preserve">IBIT</t>
  </si>
  <si>
    <t xml:space="preserve">iShares Bitcoin Trust ETF</t>
  </si>
  <si>
    <t xml:space="preserve">MRVL</t>
  </si>
  <si>
    <t xml:space="preserve">Marvell Technology Inc</t>
  </si>
  <si>
    <t xml:space="preserve">MSFT</t>
  </si>
  <si>
    <t xml:space="preserve">Microsoft Corp.</t>
  </si>
  <si>
    <t xml:space="preserve">MSTR</t>
  </si>
  <si>
    <t xml:space="preserve">Strategy Inc Class A</t>
  </si>
  <si>
    <t xml:space="preserve">Hold</t>
  </si>
  <si>
    <t xml:space="preserve">MU</t>
  </si>
  <si>
    <t xml:space="preserve">Micron Technology Inc</t>
  </si>
  <si>
    <t xml:space="preserve">NVDA</t>
  </si>
  <si>
    <t xml:space="preserve">NVIDIA Corp.</t>
  </si>
  <si>
    <t xml:space="preserve">Overweight</t>
  </si>
  <si>
    <t xml:space="preserve">High Growth</t>
  </si>
  <si>
    <t xml:space="preserve">PLTR</t>
  </si>
  <si>
    <t xml:space="preserve">Palantir Technologies Inc</t>
  </si>
  <si>
    <t xml:space="preserve">RKLB</t>
  </si>
  <si>
    <t xml:space="preserve">Rocket Lab Corp</t>
  </si>
  <si>
    <t xml:space="preserve">Speculative</t>
  </si>
  <si>
    <t xml:space="preserve">TSLA</t>
  </si>
  <si>
    <t xml:space="preserve">Tesla Inc</t>
  </si>
  <si>
    <t xml:space="preserve">CEN</t>
  </si>
  <si>
    <t xml:space="preserve">Contact Energy Ltd</t>
  </si>
  <si>
    <t xml:space="preserve">MEL</t>
  </si>
  <si>
    <t xml:space="preserve">Meridian Energy Ltd</t>
  </si>
  <si>
    <t xml:space="preserve">BABA</t>
  </si>
  <si>
    <t xml:space="preserve">Alibaba Group Holding Ltd</t>
  </si>
  <si>
    <t xml:space="preserve">Sharesight Portfolio</t>
  </si>
  <si>
    <t xml:space="preserve">Quantity Held</t>
  </si>
  <si>
    <t xml:space="preserve">Average Cost Basis</t>
  </si>
  <si>
    <t xml:space="preserve">Current Value (NZD)</t>
  </si>
  <si>
    <t xml:space="preserve">Sharesight Annualised Return (%)</t>
  </si>
  <si>
    <t xml:space="preserve">Last Sync Timestamp</t>
  </si>
  <si>
    <t xml:space="preserve">Sync Status</t>
  </si>
  <si>
    <t xml:space="preserve">WSAPT Confluence Ref (Master_Watchlist lookup)</t>
  </si>
  <si>
    <t xml:space="preserve">Jacson3 Sharesies</t>
  </si>
  <si>
    <t xml:space="preserve">NOT YET CONNECTED</t>
  </si>
  <si>
    <t xml:space="preserve">Personal-MooMoo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</si>
</sst>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d/mm/yyyy\ hh:mm:ss"/>
    <numFmt numFmtId="167" formatCode="General"/>
    <numFmt numFmtId="168" formatCode="yyyy\-mm\-dd\ h:mm:ss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B57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E19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BE19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19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7" headerRowCount="1" totalsRowCount="0" totalsRowShown="0">
  <tableColumns count="14">
    <tableColumn id="1" name="Ticker"/>
    <tableColumn id="2" name="Asset Name"/>
    <tableColumn id="3" name="Category (Crypto / Tech Share / Regional Utility)"/>
    <tableColumn id="4" name="Latest Close"/>
    <tableColumn id="5" name="Peak Price"/>
    <tableColumn id="6" name="Daily ATR (14)"/>
    <tableColumn id="7" name="Tight Stop (Preservation)"/>
    <tableColumn id="8" name="Wide Stop (Trend Defender)"/>
    <tableColumn id="9" name="Accumulation 1 (Pullback)"/>
    <tableColumn id="10" name="Accumulation 2 (POC)"/>
    <tableColumn id="11" name="PE Analyst Fundamentals"/>
    <tableColumn id="12" name="Global Analyst Macro"/>
    <tableColumn id="13" name="Last Import Timestamp"/>
    <tableColumn id="14" name="Data Status"/>
  </tableColumns>
</table>
</file>

<file path=xl/tables/table2.xml><?xml version="1.0" encoding="utf-8"?>
<table xmlns="http://schemas.openxmlformats.org/spreadsheetml/2006/main" id="2" name="Table_1" displayName="Table_1" ref="A8:N8" headerRowCount="0" totalsRowCount="0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4" min="1" style="1" width="10.51"/>
    <col collapsed="false" customWidth="true" hidden="false" outlineLevel="0" max="18" min="15" style="1" width="16"/>
    <col collapsed="false" customWidth="true" hidden="false" outlineLevel="0" max="19" min="19" style="1" width="26"/>
    <col collapsed="false" customWidth="true" hidden="false" outlineLevel="0" max="21" min="20" style="1" width="16"/>
    <col collapsed="false" customWidth="true" hidden="false" outlineLevel="0" max="26" min="23" style="1" width="18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 t="s">
        <v>22</v>
      </c>
      <c r="Y1" s="4" t="s">
        <v>23</v>
      </c>
      <c r="Z1" s="4" t="s">
        <v>24</v>
      </c>
      <c r="AA1" s="4" t="s">
        <v>25</v>
      </c>
    </row>
    <row r="2" customFormat="false" ht="22.5" hidden="false" customHeight="true" outlineLevel="0" collapsed="false">
      <c r="A2" s="5" t="s">
        <v>26</v>
      </c>
      <c r="B2" s="5" t="s">
        <v>27</v>
      </c>
      <c r="C2" s="5" t="s">
        <v>28</v>
      </c>
      <c r="D2" s="6" t="n">
        <v>64250</v>
      </c>
      <c r="E2" s="5" t="n">
        <v>73777</v>
      </c>
      <c r="F2" s="5" t="n">
        <v>2450</v>
      </c>
      <c r="G2" s="7" t="str">
        <f aca="false">IF(D2="","no price data",IF(O2="Core Accumulation","n/a (no tight stop)",D2 - (1.5 * F2)))</f>
        <v>n/a (no tight stop)</v>
      </c>
      <c r="H2" s="7" t="n">
        <f aca="false">IF(D2="","no price data",IF(J2=0,"NEEDS POC ENTRY",J2*0.65))</f>
        <v>44400.2</v>
      </c>
      <c r="I2" s="7" t="n">
        <f aca="false">IF(D2="","no price data",D2 - (1 * F2))</f>
        <v>61800</v>
      </c>
      <c r="J2" s="5" t="n">
        <v>68308</v>
      </c>
      <c r="K2" s="5" t="s">
        <v>29</v>
      </c>
      <c r="L2" s="5" t="s">
        <v>30</v>
      </c>
      <c r="M2" s="8" t="n">
        <v>46196.6423958333</v>
      </c>
      <c r="N2" s="7" t="str">
        <f aca="true">IF(NOW()-M2 &gt; TIME(1,0,0), "⚠️ STALE DATA (&gt;1HR)", "✅ AUDITED - PRICE ACCURATE")</f>
        <v>⚠️ STALE DATA (&gt;1HR)</v>
      </c>
      <c r="O2" s="9" t="s">
        <v>31</v>
      </c>
      <c r="P2" s="9"/>
      <c r="Q2" s="10"/>
      <c r="R2" s="10"/>
      <c r="S2" s="10"/>
      <c r="T2" s="10"/>
      <c r="U2" s="9" t="n">
        <f aca="false">(IF(LOWER(P2)="bullish",2,IF(LOWER(P2)="bearish",-2,0)))+(IF(LOWER(L2)="bullish",2,IF(LOWER(L2)="bearish",-2,0)))</f>
        <v>2</v>
      </c>
      <c r="V2" s="9" t="str">
        <f aca="false">IF(U2&gt;=3,"Strong",IF(U2&lt;=-3,"Weak","Mixed / Watch"))</f>
        <v>Mixed / Watch</v>
      </c>
      <c r="X2" s="1" t="s">
        <v>32</v>
      </c>
      <c r="Y2" s="1" t="n">
        <f aca="false">IFERROR(__xludf.dummyfunction("GOOGLEFINANCE(""CURRENCY:NZDUSD"")"),0.56537)</f>
        <v>0.56537</v>
      </c>
      <c r="Z2" s="1" t="n">
        <f aca="false">IFERROR(__xludf.dummyfunction("AVERAGE(QUERY(GOOGLEFINANCE(""CURRENCY:NZDUSD"", ""price"", TODAY()-80, TODAY()), ""SELECT Col2 ORDER BY Col1 DESC LIMIT 50"", 0))"),0.5858257)</f>
        <v>0.5858257</v>
      </c>
      <c r="AA2" s="1" t="str">
        <f aca="false">IFERROR(__xludf.dummyfunction("IF(AND(X2&gt;0.62, X2&gt;AVERAGE(INDEX(GOOGLEFINANCE(""CURRENCY:NZDUSD"", ""price"", TODAY()-50, TODAY()), 0, 2))), ""🔥 PRIME BUY USD (NZD Strong &gt; 0.62 &amp; Above 50-day SMA - Sweep NZD to USD Assets)"", IF(AND(X2&lt;0.59, X2&lt;AVERAGE(INDEX(GOOGLEFINANCE(""CURRENCY:"&amp;"NZDUSD"", ""price"", TODAY()-50, TODAY()), 0, 2))), ""🛑 HOLD NZD (NZD Weak &lt; 0.59 &amp; Below 50-day SMA - Let USD Holdings Float / Do Not Convert)"", IF(X2&gt;AVERAGE(INDEX(GOOGLEFINANCE(""CURRENCY:NZDUSD"", ""price"", TODAY()-50, TODAY()), 0, 2)), ""📈 NZD BU"&amp;"LLISH COIL (Kiwi Above 50-day SMA - Mid-range Strength)"", ""📉 NZD BEARISH SPREAD (Kiwi Below 50-day SMA - Mid-range Weakness)"")))"),"🛑 HOLD NZD (NZD Weak &lt; 0.59 &amp; Below 50-day SMA - Let USD Holdings Float / Do Not Convert)")</f>
        <v>🛑 HOLD NZD (NZD Weak &lt; 0.59 &amp; Below 50-day SMA - Let USD Holdings Float / Do Not Convert)</v>
      </c>
    </row>
    <row r="3" customFormat="false" ht="22.5" hidden="false" customHeight="true" outlineLevel="0" collapsed="false">
      <c r="A3" s="5" t="s">
        <v>33</v>
      </c>
      <c r="B3" s="5" t="s">
        <v>34</v>
      </c>
      <c r="C3" s="5" t="s">
        <v>28</v>
      </c>
      <c r="D3" s="6" t="n">
        <v>3480</v>
      </c>
      <c r="E3" s="5" t="n">
        <v>4891</v>
      </c>
      <c r="F3" s="5" t="n">
        <v>145</v>
      </c>
      <c r="G3" s="7" t="n">
        <f aca="false">IF(D3="","no price data",IF(O3="Core Accumulation","n/a (no tight stop)",D3 - (1.5 * F3)))</f>
        <v>3262.5</v>
      </c>
      <c r="H3" s="7" t="n">
        <f aca="false">IF(D3="","no price data",D3 - (2.5 * F3))</f>
        <v>3117.5</v>
      </c>
      <c r="I3" s="7" t="n">
        <f aca="false">IF(D3="","no price data",D3 - (1 * F3))</f>
        <v>3335</v>
      </c>
      <c r="J3" s="5" t="n">
        <v>0</v>
      </c>
      <c r="K3" s="5" t="s">
        <v>29</v>
      </c>
      <c r="L3" s="5" t="s">
        <v>30</v>
      </c>
      <c r="M3" s="8" t="n">
        <v>46196.6423958333</v>
      </c>
      <c r="N3" s="7" t="str">
        <f aca="true">IF(NOW()-M3 &gt; TIME(1,0,0), "⚠️ STALE DATA (&gt;1HR)", "✅ AUDITED - PRICE ACCURATE")</f>
        <v>⚠️ STALE DATA (&gt;1HR)</v>
      </c>
      <c r="O3" s="9" t="s">
        <v>35</v>
      </c>
      <c r="P3" s="9"/>
      <c r="Q3" s="10"/>
      <c r="R3" s="10"/>
      <c r="S3" s="10"/>
      <c r="T3" s="10"/>
      <c r="U3" s="9" t="n">
        <f aca="false">(IF(LOWER(P3)="bullish",2,IF(LOWER(P3)="bearish",-2,0)))+(IF(LOWER(L3)="bullish",2,IF(LOWER(L3)="bearish",-2,0)))</f>
        <v>2</v>
      </c>
      <c r="V3" s="9" t="str">
        <f aca="false">IF(U3&gt;=3,"Strong",IF(U3&lt;=-3,"Weak","Mixed / Watch"))</f>
        <v>Mixed / Watch</v>
      </c>
      <c r="X3" s="1" t="s">
        <v>36</v>
      </c>
      <c r="Y3" s="1" t="n">
        <f aca="false">IFERROR(__xludf.dummyfunction("GOOGLEFINANCE(""CURRENCY:NZDAUD"")"),0.81864)</f>
        <v>0.81864</v>
      </c>
      <c r="Z3" s="1" t="n">
        <f aca="false">IFERROR(__xludf.dummyfunction("AVERAGE(QUERY(GOOGLEFINANCE(""CURRENCY:NZDAUD"", ""price"", TODAY()-80, TODAY()), ""SELECT Col2 ORDER BY Col1 DESC LIMIT 50"", 0))"),0.822090596)</f>
        <v>0.822090596</v>
      </c>
      <c r="AA3" s="1" t="str">
        <f aca="false">IFERROR(__xludf.dummyfunction("IF(X3&gt;AVERAGE(INDEX(GOOGLEFINANCE(""CURRENCY:NZDAUD"", ""price"", TODAY()-50, TODAY()), 0, 2)), ""📈 BUY ASX UTILITIES (Kiwi Stronger than Aussie - High ASX Purchasing Power)"", ""📉 HOLD NZ baseloads (Aussie Stronger than Kiwi - Hold local)"")"),"📉 HOLD NZ baseloads (Aussie Stronger than Kiwi - Hold local)")</f>
        <v>📉 HOLD NZ baseloads (Aussie Stronger than Kiwi - Hold local)</v>
      </c>
    </row>
    <row r="4" customFormat="false" ht="22.5" hidden="false" customHeight="true" outlineLevel="0" collapsed="false">
      <c r="A4" s="7" t="s">
        <v>37</v>
      </c>
      <c r="B4" s="7" t="s">
        <v>37</v>
      </c>
      <c r="C4" s="7" t="s">
        <v>28</v>
      </c>
      <c r="D4" s="11" t="n">
        <v>0.25</v>
      </c>
      <c r="E4" s="7" t="n">
        <v>0.35</v>
      </c>
      <c r="F4" s="7" t="n">
        <v>0.02</v>
      </c>
      <c r="G4" s="7" t="n">
        <f aca="false">IF(D4="","no price data",IF(O4="Core Accumulation","n/a (no tight stop)",D4 - (1.5 * F4)))</f>
        <v>0.22</v>
      </c>
      <c r="H4" s="7" t="n">
        <f aca="false">IF(D4="","no price data",D4 - (2.5 * F4))</f>
        <v>0.2</v>
      </c>
      <c r="I4" s="7" t="n">
        <f aca="false">IF(D4="","no price data",D4 - (1 * F4))</f>
        <v>0.23</v>
      </c>
      <c r="J4" s="5" t="n">
        <v>0</v>
      </c>
      <c r="K4" s="7" t="s">
        <v>29</v>
      </c>
      <c r="L4" s="7" t="s">
        <v>38</v>
      </c>
      <c r="M4" s="12" t="n">
        <v>46196.6486226852</v>
      </c>
      <c r="N4" s="7" t="str">
        <f aca="true">IF(NOW()-M4 &gt; TIME(1,0,0), "⚠️ STALE DATA (&gt;1HR)", "✅ AUDITED - PRICE ACCURATE")</f>
        <v>⚠️ STALE DATA (&gt;1HR)</v>
      </c>
      <c r="O4" s="9" t="s">
        <v>35</v>
      </c>
      <c r="P4" s="9"/>
      <c r="Q4" s="10"/>
      <c r="R4" s="10"/>
      <c r="S4" s="10"/>
      <c r="T4" s="10"/>
      <c r="U4" s="9" t="n">
        <f aca="false">(IF(LOWER(P4)="bullish",2,IF(LOWER(P4)="bearish",-2,0)))+(IF(LOWER(L4)="bullish",2,IF(LOWER(L4)="bearish",-2,0)))</f>
        <v>0</v>
      </c>
      <c r="V4" s="9" t="str">
        <f aca="false">IF(U4&gt;=3,"Strong",IF(U4&lt;=-3,"Weak","Mixed / Watch"))</f>
        <v>Mixed / Watch</v>
      </c>
      <c r="X4" s="1" t="s">
        <v>39</v>
      </c>
      <c r="Y4" s="1" t="n">
        <f aca="false">IFERROR(__xludf.dummyfunction("GOOGLEFINANCE(""USO"")"),111.26)</f>
        <v>111.26</v>
      </c>
      <c r="Z4" s="1" t="n">
        <f aca="false">IFERROR(__xludf.dummyfunction("AVERAGE(QUERY(GOOGLEFINANCE(""NYSEARCA:USO"", ""price"", TODAY()-80, TODAY()), ""SELECT Col2 ORDER BY Col1 DESC LIMIT 50"", 0))"),133.485)</f>
        <v>133.485</v>
      </c>
      <c r="AA4" s="1" t="str">
        <f aca="false">IFERROR(__xludf.dummyfunction("IF(X4&gt;AVERAGE(INDEX(GOOGLEFINANCE(""USO"", ""price"", TODAY()-50, TODAY()), 0, 2)), ""⚠️ ENERGY INFLATION SQUEEZE (USO above 50-day SMA - Watch NZ retail petrol/logistics margin pressure)"", ""✅ COOLDOWN (USO below 50-day SMA - Easing transport costs &amp; fa"&amp;"vorable consumer context)"")"),"✅ COOLDOWN (USO below 50-day SMA - Easing transport costs &amp; favorable consumer context)")</f>
        <v>✅ COOLDOWN (USO below 50-day SMA - Easing transport costs &amp; favorable consumer context)</v>
      </c>
    </row>
    <row r="5" customFormat="false" ht="22.5" hidden="false" customHeight="true" outlineLevel="0" collapsed="false">
      <c r="A5" s="7" t="s">
        <v>40</v>
      </c>
      <c r="B5" s="7" t="s">
        <v>40</v>
      </c>
      <c r="C5" s="7" t="s">
        <v>28</v>
      </c>
      <c r="D5" s="11" t="n">
        <v>4.5</v>
      </c>
      <c r="E5" s="7" t="n">
        <v>6</v>
      </c>
      <c r="F5" s="7" t="n">
        <v>0.3</v>
      </c>
      <c r="G5" s="7" t="n">
        <f aca="false">IF(D5="","no price data",IF(O5="Core Accumulation","n/a (no tight stop)",D5 - (1.5 * F5)))</f>
        <v>4.05</v>
      </c>
      <c r="H5" s="7" t="n">
        <f aca="false">IF(D5="","no price data",D5 - (2.5 * F5))</f>
        <v>3.75</v>
      </c>
      <c r="I5" s="7" t="n">
        <f aca="false">IF(D5="","no price data",D5 - (1 * F5))</f>
        <v>4.2</v>
      </c>
      <c r="J5" s="5" t="n">
        <v>0</v>
      </c>
      <c r="K5" s="7" t="s">
        <v>29</v>
      </c>
      <c r="L5" s="7" t="s">
        <v>30</v>
      </c>
      <c r="M5" s="12" t="n">
        <v>46196.6486226852</v>
      </c>
      <c r="N5" s="7" t="str">
        <f aca="true">IF(NOW()-M5 &gt; TIME(1,0,0), "⚠️ STALE DATA (&gt;1HR)", "✅ AUDITED - PRICE ACCURATE")</f>
        <v>⚠️ STALE DATA (&gt;1HR)</v>
      </c>
      <c r="O5" s="9" t="s">
        <v>35</v>
      </c>
      <c r="P5" s="9"/>
      <c r="Q5" s="10"/>
      <c r="R5" s="10"/>
      <c r="S5" s="10"/>
      <c r="T5" s="10"/>
      <c r="U5" s="9" t="n">
        <f aca="false">(IF(LOWER(P5)="bullish",2,IF(LOWER(P5)="bearish",-2,0)))+(IF(LOWER(L5)="bullish",2,IF(LOWER(L5)="bearish",-2,0)))</f>
        <v>2</v>
      </c>
      <c r="V5" s="9" t="str">
        <f aca="false">IF(U5&gt;=3,"Strong",IF(U5&lt;=-3,"Weak","Mixed / Watch"))</f>
        <v>Mixed / Watch</v>
      </c>
      <c r="X5" s="1" t="s">
        <v>41</v>
      </c>
      <c r="Y5" s="1" t="n">
        <f aca="false">IFERROR(__xludf.dummyfunction("GOOGLEFINANCE(""COPX"")"),79.48)</f>
        <v>79.48</v>
      </c>
      <c r="Z5" s="1" t="n">
        <f aca="false">IFERROR(__xludf.dummyfunction("AVERAGE(QUERY(GOOGLEFINANCE(""NYSEARCA:COPX"", ""price"", TODAY()-80, TODAY()), ""SELECT Col2 ORDER BY Col1 DESC LIMIT 50"", 0))"),84.477)</f>
        <v>84.477</v>
      </c>
      <c r="AA5" s="1" t="str">
        <f aca="false">IFERROR(__xludf.dummyfunction("IF(X5&gt;AVERAGE(INDEX(GOOGLEFINANCE(""COPX"", ""price"", TODAY()-50, TODAY()), 0, 2)), ""🚀 DC DEMAND EXPANSION (COPX above 50-day SMA - Structural cooling &amp; grid buildout supportive for NEXTDC/MRVL)"", ""📉 COMMODITY RE-ACCUMULATION (COPX below 50-day SMA "&amp;"- Base building / macro consolidation)"")"),"📉 COMMODITY RE-ACCUMULATION (COPX below 50-day SMA - Base building / macro consolidation)")</f>
        <v>📉 COMMODITY RE-ACCUMULATION (COPX below 50-day SMA - Base building / macro consolidation)</v>
      </c>
    </row>
    <row r="6" customFormat="false" ht="22.5" hidden="false" customHeight="true" outlineLevel="0" collapsed="false">
      <c r="A6" s="7" t="s">
        <v>42</v>
      </c>
      <c r="B6" s="7" t="s">
        <v>42</v>
      </c>
      <c r="C6" s="7" t="s">
        <v>28</v>
      </c>
      <c r="D6" s="11" t="n">
        <v>1.2</v>
      </c>
      <c r="E6" s="7" t="n">
        <v>2</v>
      </c>
      <c r="F6" s="7" t="n">
        <v>0.1</v>
      </c>
      <c r="G6" s="7" t="n">
        <f aca="false">IF(D6="","no price data",IF(O6="Core Accumulation","n/a (no tight stop)",D6 - (1.5 * F6)))</f>
        <v>1.05</v>
      </c>
      <c r="H6" s="7" t="n">
        <f aca="false">IF(D6="","no price data",D6 - (2.5 * F6))</f>
        <v>0.95</v>
      </c>
      <c r="I6" s="7" t="n">
        <f aca="false">IF(D6="","no price data",D6 - (1 * F6))</f>
        <v>1.1</v>
      </c>
      <c r="J6" s="5" t="n">
        <v>0</v>
      </c>
      <c r="K6" s="7" t="s">
        <v>29</v>
      </c>
      <c r="L6" s="7" t="s">
        <v>38</v>
      </c>
      <c r="M6" s="12" t="n">
        <v>46196.6486226852</v>
      </c>
      <c r="N6" s="7" t="str">
        <f aca="true">IF(NOW()-M6 &gt; TIME(1,0,0), "⚠️ STALE DATA (&gt;1HR)", "✅ AUDITED - PRICE ACCURATE")</f>
        <v>⚠️ STALE DATA (&gt;1HR)</v>
      </c>
      <c r="O6" s="9" t="s">
        <v>35</v>
      </c>
      <c r="P6" s="9"/>
      <c r="Q6" s="10"/>
      <c r="R6" s="10"/>
      <c r="S6" s="10"/>
      <c r="T6" s="10"/>
      <c r="U6" s="9" t="n">
        <f aca="false">(IF(LOWER(P6)="bullish",2,IF(LOWER(P6)="bearish",-2,0)))+(IF(LOWER(L6)="bullish",2,IF(LOWER(L6)="bearish",-2,0)))</f>
        <v>0</v>
      </c>
      <c r="V6" s="9" t="str">
        <f aca="false">IF(U6&gt;=3,"Strong",IF(U6&lt;=-3,"Weak","Mixed / Watch"))</f>
        <v>Mixed / Watch</v>
      </c>
      <c r="X6" s="1" t="s">
        <v>43</v>
      </c>
      <c r="Y6" s="1" t="n">
        <f aca="false">IFERROR(__xludf.dummyfunction("GOOGLEFINANCE(""GLD"")"),377.32)</f>
        <v>377.32</v>
      </c>
      <c r="Z6" s="1" t="n">
        <f aca="false">IFERROR(__xludf.dummyfunction("AVERAGE(QUERY(GOOGLEFINANCE(""NYSEARCA:GLD"", ""price"", TODAY()-80, TODAY()), ""SELECT Col2 ORDER BY Col1 DESC LIMIT 50"", 0))"),416.0512)</f>
        <v>416.0512</v>
      </c>
      <c r="AA6" s="1" t="str">
        <f aca="false">IFERROR(__xludf.dummyfunction("IF(X6&gt;AVERAGE(INDEX(GOOGLEFINANCE(""GLD"", ""price"", TODAY()-50, TODAY()), 0, 2)), ""📈 MONETARY DEBASEMENT HEDGE (Gold above 50-day SMA - Defensive/liquidity preservation focus active)"", ""📉 RISK-ON SIDELINES (Gold below 50-day SMA - Capital rotating "&amp;"heavily to tech/cryptos)"")"),"📉 RISK-ON SIDELINES (Gold below 50-day SMA - Capital rotating heavily to tech/cryptos)")</f>
        <v>📉 RISK-ON SIDELINES (Gold below 50-day SMA - Capital rotating heavily to tech/cryptos)</v>
      </c>
    </row>
    <row r="7" customFormat="false" ht="22.5" hidden="false" customHeight="true" outlineLevel="0" collapsed="false">
      <c r="A7" s="7" t="s">
        <v>44</v>
      </c>
      <c r="B7" s="7" t="s">
        <v>44</v>
      </c>
      <c r="C7" s="7" t="s">
        <v>28</v>
      </c>
      <c r="D7" s="11" t="n">
        <v>0.85</v>
      </c>
      <c r="E7" s="7" t="n">
        <v>1.1</v>
      </c>
      <c r="F7" s="7" t="n">
        <v>0.05</v>
      </c>
      <c r="G7" s="7" t="n">
        <f aca="false">IF(D7="","no price data",IF(O7="Core Accumulation","n/a (no tight stop)",D7 - (1.5 * F7)))</f>
        <v>0.775</v>
      </c>
      <c r="H7" s="7" t="n">
        <f aca="false">IF(D7="","no price data",D7 - (2.5 * F7))</f>
        <v>0.725</v>
      </c>
      <c r="I7" s="7" t="n">
        <f aca="false">IF(D7="","no price data",D7 - (1 * F7))</f>
        <v>0.8</v>
      </c>
      <c r="J7" s="5" t="n">
        <v>0</v>
      </c>
      <c r="K7" s="7" t="s">
        <v>29</v>
      </c>
      <c r="L7" s="7" t="s">
        <v>30</v>
      </c>
      <c r="M7" s="12" t="n">
        <v>46196.6486226852</v>
      </c>
      <c r="N7" s="7" t="str">
        <f aca="true">IF(NOW()-M7 &gt; TIME(1,0,0), "⚠️ STALE DATA (&gt;1HR)", "✅ AUDITED - PRICE ACCURATE")</f>
        <v>⚠️ STALE DATA (&gt;1HR)</v>
      </c>
      <c r="O7" s="9" t="s">
        <v>35</v>
      </c>
      <c r="P7" s="9"/>
      <c r="Q7" s="10"/>
      <c r="R7" s="10"/>
      <c r="S7" s="10"/>
      <c r="T7" s="10"/>
      <c r="U7" s="9" t="n">
        <f aca="false">(IF(LOWER(P7)="bullish",2,IF(LOWER(P7)="bearish",-2,0)))+(IF(LOWER(L7)="bullish",2,IF(LOWER(L7)="bearish",-2,0)))</f>
        <v>2</v>
      </c>
      <c r="V7" s="9" t="str">
        <f aca="false">IF(U7&gt;=3,"Strong",IF(U7&lt;=-3,"Weak","Mixed / Watch"))</f>
        <v>Mixed / Watch</v>
      </c>
    </row>
    <row r="8" customFormat="false" ht="26.25" hidden="false" customHeight="true" outlineLevel="0" collapsed="false">
      <c r="A8" s="13" t="s">
        <v>45</v>
      </c>
      <c r="B8" s="13" t="s">
        <v>45</v>
      </c>
      <c r="C8" s="13" t="s">
        <v>28</v>
      </c>
      <c r="D8" s="14" t="n">
        <v>2.1</v>
      </c>
      <c r="E8" s="13" t="n">
        <v>3.5</v>
      </c>
      <c r="F8" s="13" t="n">
        <v>0.15</v>
      </c>
      <c r="G8" s="15" t="n">
        <f aca="false">IF(D8="","no price data",IF(O8="Core Accumulation","n/a (no tight stop)",D8 - (1.5 * F8)))</f>
        <v>1.875</v>
      </c>
      <c r="H8" s="15" t="n">
        <f aca="false">IF(D8="","no price data",D8 - (2.5 * F8))</f>
        <v>1.725</v>
      </c>
      <c r="I8" s="15" t="n">
        <f aca="false">IF(D8="","no price data",D8 - (1 * F8))</f>
        <v>1.95</v>
      </c>
      <c r="J8" s="13" t="n">
        <v>0</v>
      </c>
      <c r="K8" s="13" t="s">
        <v>29</v>
      </c>
      <c r="L8" s="13" t="s">
        <v>38</v>
      </c>
      <c r="M8" s="16" t="n">
        <v>46196.6486226852</v>
      </c>
      <c r="N8" s="15" t="str">
        <f aca="true">IF(NOW()-M8 &gt; TIME(1,0,0), "⚠️ STALE DATA (&gt;1HR)", "✅ AUDITED - PRICE ACCURATE")</f>
        <v>⚠️ STALE DATA (&gt;1HR)</v>
      </c>
      <c r="O8" s="9" t="s">
        <v>35</v>
      </c>
      <c r="P8" s="9"/>
      <c r="Q8" s="10"/>
      <c r="R8" s="10"/>
      <c r="S8" s="9"/>
      <c r="T8" s="10"/>
      <c r="U8" s="9" t="n">
        <f aca="false">(IF(LOWER(P8)="bullish",2,IF(LOWER(P8)="bearish",-2,0)))+(IF(LOWER(L8)="bullish",2,IF(LOWER(L8)="bearish",-2,0)))</f>
        <v>0</v>
      </c>
      <c r="V8" s="9" t="str">
        <f aca="false">IF(U8&gt;=3,"Strong",IF(U8&lt;=-3,"Weak","Mixed / Watch"))</f>
        <v>Mixed / Watch</v>
      </c>
    </row>
    <row r="9" customFormat="false" ht="26.25" hidden="false" customHeight="true" outlineLevel="0" collapsed="false">
      <c r="A9" s="13" t="s">
        <v>46</v>
      </c>
      <c r="B9" s="13" t="s">
        <v>46</v>
      </c>
      <c r="C9" s="13" t="s">
        <v>28</v>
      </c>
      <c r="D9" s="14" t="n">
        <v>0.45</v>
      </c>
      <c r="E9" s="13" t="n">
        <v>0.6</v>
      </c>
      <c r="F9" s="13" t="n">
        <v>0.03</v>
      </c>
      <c r="G9" s="15" t="n">
        <f aca="false">IF(D9="","no price data",IF(O9="Core Accumulation","n/a (no tight stop)",D9 - (1.5 * F9)))</f>
        <v>0.405</v>
      </c>
      <c r="H9" s="15" t="n">
        <f aca="false">IF(D9="","no price data",D9 - (2.5 * F9))</f>
        <v>0.375</v>
      </c>
      <c r="I9" s="15" t="n">
        <f aca="false">IF(D9="","no price data",D9 - (1 * F9))</f>
        <v>0.42</v>
      </c>
      <c r="J9" s="13" t="n">
        <v>0</v>
      </c>
      <c r="K9" s="13" t="s">
        <v>29</v>
      </c>
      <c r="L9" s="13" t="s">
        <v>30</v>
      </c>
      <c r="M9" s="16" t="n">
        <v>46196.6486226852</v>
      </c>
      <c r="N9" s="15" t="str">
        <f aca="true">IF(NOW()-M9 &gt; TIME(1,0,0), "⚠️ STALE DATA (&gt;1HR)", "✅ AUDITED - PRICE ACCURATE")</f>
        <v>⚠️ STALE DATA (&gt;1HR)</v>
      </c>
      <c r="O9" s="9" t="s">
        <v>35</v>
      </c>
      <c r="P9" s="9"/>
      <c r="Q9" s="10"/>
      <c r="R9" s="10"/>
      <c r="S9" s="9"/>
      <c r="T9" s="10"/>
      <c r="U9" s="9" t="n">
        <f aca="false">(IF(LOWER(P9)="bullish",2,IF(LOWER(P9)="bearish",-2,0)))+(IF(LOWER(L9)="bullish",2,IF(LOWER(L9)="bearish",-2,0)))</f>
        <v>2</v>
      </c>
      <c r="V9" s="9" t="str">
        <f aca="false">IF(U9&gt;=3,"Strong",IF(U9&lt;=-3,"Weak","Mixed / Watch"))</f>
        <v>Mixed / Watch</v>
      </c>
    </row>
    <row r="10" customFormat="false" ht="26.25" hidden="false" customHeight="true" outlineLevel="0" collapsed="false">
      <c r="A10" s="13" t="s">
        <v>47</v>
      </c>
      <c r="B10" s="13" t="s">
        <v>47</v>
      </c>
      <c r="C10" s="13" t="s">
        <v>28</v>
      </c>
      <c r="D10" s="14" t="n">
        <v>1.5</v>
      </c>
      <c r="E10" s="13" t="n">
        <v>2.2</v>
      </c>
      <c r="F10" s="13" t="n">
        <v>0.12</v>
      </c>
      <c r="G10" s="15" t="n">
        <f aca="false">IF(D10="","no price data",IF(O10="Core Accumulation","n/a (no tight stop)",D10 - (1.5 * F10)))</f>
        <v>1.32</v>
      </c>
      <c r="H10" s="15" t="n">
        <f aca="false">IF(D10="","no price data",D10 - (2.5 * F10))</f>
        <v>1.2</v>
      </c>
      <c r="I10" s="15" t="n">
        <f aca="false">IF(D10="","no price data",D10 - (1 * F10))</f>
        <v>1.38</v>
      </c>
      <c r="J10" s="13" t="n">
        <v>0</v>
      </c>
      <c r="K10" s="13" t="s">
        <v>29</v>
      </c>
      <c r="L10" s="13" t="s">
        <v>30</v>
      </c>
      <c r="M10" s="16" t="n">
        <v>46196.6486226852</v>
      </c>
      <c r="N10" s="15" t="str">
        <f aca="true">IF(NOW()-M10 &gt; TIME(1,0,0), "⚠️ STALE DATA (&gt;1HR)", "✅ AUDITED - PRICE ACCURATE")</f>
        <v>⚠️ STALE DATA (&gt;1HR)</v>
      </c>
      <c r="O10" s="9" t="s">
        <v>35</v>
      </c>
      <c r="P10" s="9"/>
      <c r="Q10" s="10"/>
      <c r="R10" s="10"/>
      <c r="S10" s="9"/>
      <c r="T10" s="10"/>
      <c r="U10" s="9" t="n">
        <f aca="false">(IF(LOWER(P10)="bullish",2,IF(LOWER(P10)="bearish",-2,0)))+(IF(LOWER(L10)="bullish",2,IF(LOWER(L10)="bearish",-2,0)))</f>
        <v>2</v>
      </c>
      <c r="V10" s="9" t="str">
        <f aca="false">IF(U10&gt;=3,"Strong",IF(U10&lt;=-3,"Weak","Mixed / Watch"))</f>
        <v>Mixed / Watch</v>
      </c>
    </row>
    <row r="11" customFormat="false" ht="26.25" hidden="false" customHeight="true" outlineLevel="0" collapsed="false">
      <c r="A11" s="13" t="s">
        <v>48</v>
      </c>
      <c r="B11" s="13" t="s">
        <v>48</v>
      </c>
      <c r="C11" s="13" t="s">
        <v>28</v>
      </c>
      <c r="D11" s="14" t="n">
        <v>0.1</v>
      </c>
      <c r="E11" s="13" t="n">
        <v>0.25</v>
      </c>
      <c r="F11" s="13" t="n">
        <v>0.01</v>
      </c>
      <c r="G11" s="15" t="n">
        <f aca="false">IF(D11="","no price data",IF(O11="Core Accumulation","n/a (no tight stop)",D11 - (1.5 * F11)))</f>
        <v>0.085</v>
      </c>
      <c r="H11" s="15" t="n">
        <f aca="false">IF(D11="","no price data",D11 - (2.5 * F11))</f>
        <v>0.075</v>
      </c>
      <c r="I11" s="15" t="n">
        <f aca="false">IF(D11="","no price data",D11 - (1 * F11))</f>
        <v>0.09</v>
      </c>
      <c r="J11" s="13" t="n">
        <v>0</v>
      </c>
      <c r="K11" s="13" t="s">
        <v>29</v>
      </c>
      <c r="L11" s="13" t="s">
        <v>38</v>
      </c>
      <c r="M11" s="16" t="n">
        <v>46196.6486226852</v>
      </c>
      <c r="N11" s="15" t="str">
        <f aca="true">IF(NOW()-M11 &gt; TIME(1,0,0), "⚠️ STALE DATA (&gt;1HR)", "✅ AUDITED - PRICE ACCURATE")</f>
        <v>⚠️ STALE DATA (&gt;1HR)</v>
      </c>
      <c r="O11" s="9" t="s">
        <v>35</v>
      </c>
      <c r="P11" s="9"/>
      <c r="Q11" s="10"/>
      <c r="R11" s="10"/>
      <c r="S11" s="9"/>
      <c r="T11" s="10"/>
      <c r="U11" s="9" t="n">
        <f aca="false">(IF(LOWER(P11)="bullish",2,IF(LOWER(P11)="bearish",-2,0)))+(IF(LOWER(L11)="bullish",2,IF(LOWER(L11)="bearish",-2,0)))</f>
        <v>0</v>
      </c>
      <c r="V11" s="9" t="str">
        <f aca="false">IF(U11&gt;=3,"Strong",IF(U11&lt;=-3,"Weak","Mixed / Watch"))</f>
        <v>Mixed / Watch</v>
      </c>
    </row>
    <row r="12" customFormat="false" ht="26.25" hidden="false" customHeight="true" outlineLevel="0" collapsed="false">
      <c r="A12" s="13" t="s">
        <v>49</v>
      </c>
      <c r="B12" s="13" t="s">
        <v>49</v>
      </c>
      <c r="C12" s="13" t="s">
        <v>28</v>
      </c>
      <c r="D12" s="14" t="n">
        <v>145</v>
      </c>
      <c r="E12" s="13" t="n">
        <v>210</v>
      </c>
      <c r="F12" s="13" t="n">
        <v>8.5</v>
      </c>
      <c r="G12" s="15" t="n">
        <f aca="false">IF(D12="","no price data",IF(O12="Core Accumulation","n/a (no tight stop)",D12 - (1.5 * F12)))</f>
        <v>132.25</v>
      </c>
      <c r="H12" s="15" t="n">
        <f aca="false">IF(D12="","no price data",D12 - (2.5 * F12))</f>
        <v>123.75</v>
      </c>
      <c r="I12" s="15" t="n">
        <f aca="false">IF(D12="","no price data",D12 - (1 * F12))</f>
        <v>136.5</v>
      </c>
      <c r="J12" s="13" t="n">
        <v>0</v>
      </c>
      <c r="K12" s="13" t="s">
        <v>29</v>
      </c>
      <c r="L12" s="13" t="s">
        <v>30</v>
      </c>
      <c r="M12" s="16" t="n">
        <v>46196.6486226852</v>
      </c>
      <c r="N12" s="15" t="str">
        <f aca="true">IF(NOW()-M12 &gt; TIME(1,0,0), "⚠️ STALE DATA (&gt;1HR)", "✅ AUDITED - PRICE ACCURATE")</f>
        <v>⚠️ STALE DATA (&gt;1HR)</v>
      </c>
      <c r="O12" s="9" t="s">
        <v>35</v>
      </c>
      <c r="P12" s="9"/>
      <c r="Q12" s="10"/>
      <c r="R12" s="10"/>
      <c r="S12" s="9"/>
      <c r="T12" s="10"/>
      <c r="U12" s="9" t="n">
        <f aca="false">(IF(LOWER(P12)="bullish",2,IF(LOWER(P12)="bearish",-2,0)))+(IF(LOWER(L12)="bullish",2,IF(LOWER(L12)="bearish",-2,0)))</f>
        <v>2</v>
      </c>
      <c r="V12" s="9" t="str">
        <f aca="false">IF(U12&gt;=3,"Strong",IF(U12&lt;=-3,"Weak","Mixed / Watch"))</f>
        <v>Mixed / Watch</v>
      </c>
    </row>
    <row r="13" customFormat="false" ht="26.25" hidden="false" customHeight="true" outlineLevel="0" collapsed="false">
      <c r="A13" s="13" t="s">
        <v>50</v>
      </c>
      <c r="B13" s="13" t="s">
        <v>50</v>
      </c>
      <c r="C13" s="13" t="s">
        <v>28</v>
      </c>
      <c r="D13" s="14" t="n">
        <v>1.15</v>
      </c>
      <c r="E13" s="13" t="n">
        <v>1.8</v>
      </c>
      <c r="F13" s="13" t="n">
        <v>0.08</v>
      </c>
      <c r="G13" s="15" t="n">
        <f aca="false">IF(D13="","no price data",IF(O13="Core Accumulation","n/a (no tight stop)",D13 - (1.5 * F13)))</f>
        <v>1.03</v>
      </c>
      <c r="H13" s="15" t="n">
        <f aca="false">IF(D13="","no price data",D13 - (2.5 * F13))</f>
        <v>0.95</v>
      </c>
      <c r="I13" s="15" t="n">
        <f aca="false">IF(D13="","no price data",D13 - (1 * F13))</f>
        <v>1.07</v>
      </c>
      <c r="J13" s="13" t="n">
        <v>0</v>
      </c>
      <c r="K13" s="13" t="s">
        <v>29</v>
      </c>
      <c r="L13" s="13" t="s">
        <v>30</v>
      </c>
      <c r="M13" s="16" t="n">
        <v>46196.6486226852</v>
      </c>
      <c r="N13" s="15" t="str">
        <f aca="true">IF(NOW()-M13 &gt; TIME(1,0,0), "⚠️ STALE DATA (&gt;1HR)", "✅ AUDITED - PRICE ACCURATE")</f>
        <v>⚠️ STALE DATA (&gt;1HR)</v>
      </c>
      <c r="O13" s="9" t="s">
        <v>35</v>
      </c>
      <c r="P13" s="9"/>
      <c r="Q13" s="10"/>
      <c r="R13" s="10"/>
      <c r="S13" s="9"/>
      <c r="T13" s="10"/>
      <c r="U13" s="9" t="n">
        <f aca="false">(IF(LOWER(P13)="bullish",2,IF(LOWER(P13)="bearish",-2,0)))+(IF(LOWER(L13)="bullish",2,IF(LOWER(L13)="bearish",-2,0)))</f>
        <v>2</v>
      </c>
      <c r="V13" s="9" t="str">
        <f aca="false">IF(U13&gt;=3,"Strong",IF(U13&lt;=-3,"Weak","Mixed / Watch"))</f>
        <v>Mixed / Watch</v>
      </c>
    </row>
    <row r="14" customFormat="false" ht="26.25" hidden="false" customHeight="true" outlineLevel="0" collapsed="false">
      <c r="A14" s="13" t="s">
        <v>51</v>
      </c>
      <c r="B14" s="13" t="s">
        <v>52</v>
      </c>
      <c r="C14" s="13" t="s">
        <v>53</v>
      </c>
      <c r="D14" s="14" t="n">
        <v>37.45</v>
      </c>
      <c r="E14" s="13" t="n">
        <v>45.2</v>
      </c>
      <c r="F14" s="13" t="n">
        <v>0.65</v>
      </c>
      <c r="G14" s="15" t="n">
        <f aca="false">IF(D14="","no price data",IF(O14="Core Accumulation","n/a (no tight stop)",D14 - (1.5 * F14)))</f>
        <v>36.475</v>
      </c>
      <c r="H14" s="15" t="n">
        <f aca="false">IF(D14="","no price data",D14 - (2.5 * F14))</f>
        <v>35.825</v>
      </c>
      <c r="I14" s="15" t="n">
        <f aca="false">IF(D14="","no price data",D14 - (1 * F14))</f>
        <v>36.8</v>
      </c>
      <c r="J14" s="13" t="n">
        <v>0</v>
      </c>
      <c r="K14" s="13" t="s">
        <v>54</v>
      </c>
      <c r="L14" s="13" t="s">
        <v>55</v>
      </c>
      <c r="M14" s="16" t="n">
        <v>46196.6423958333</v>
      </c>
      <c r="N14" s="15" t="str">
        <f aca="true">IF(NOW()-M14 &gt; TIME(1,0,0), "⚠️ STALE DATA (&gt;1HR)", "✅ AUDITED - PRICE ACCURATE")</f>
        <v>⚠️ STALE DATA (&gt;1HR)</v>
      </c>
      <c r="O14" s="9" t="s">
        <v>35</v>
      </c>
      <c r="P14" s="9"/>
      <c r="Q14" s="10"/>
      <c r="R14" s="10"/>
      <c r="S14" s="9"/>
      <c r="T14" s="10"/>
      <c r="U14" s="9" t="n">
        <f aca="false">(IF(LOWER(P14)="bullish",2,IF(LOWER(P14)="bearish",-2,0)))+(IF(LOWER(L14)="bullish",2,IF(LOWER(L14)="bearish",-2,0)))</f>
        <v>0</v>
      </c>
      <c r="V14" s="9" t="str">
        <f aca="false">IF(U14&gt;=3,"Strong",IF(U14&lt;=-3,"Weak","Mixed / Watch"))</f>
        <v>Mixed / Watch</v>
      </c>
    </row>
    <row r="15" customFormat="false" ht="26.25" hidden="false" customHeight="true" outlineLevel="0" collapsed="false">
      <c r="A15" s="13" t="s">
        <v>56</v>
      </c>
      <c r="B15" s="13" t="s">
        <v>57</v>
      </c>
      <c r="C15" s="13" t="s">
        <v>58</v>
      </c>
      <c r="D15" s="14" t="n">
        <v>192.35</v>
      </c>
      <c r="E15" s="13" t="n">
        <v>199.62</v>
      </c>
      <c r="F15" s="13" t="n">
        <v>3.45</v>
      </c>
      <c r="G15" s="15" t="n">
        <f aca="false">IF(D15="","no price data",IF(O15="Core Accumulation","n/a (no tight stop)",D15 - (1.5 * F15)))</f>
        <v>187.175</v>
      </c>
      <c r="H15" s="15" t="n">
        <f aca="false">IF(D15="","no price data",D15 - (2.5 * F15))</f>
        <v>183.725</v>
      </c>
      <c r="I15" s="15" t="n">
        <f aca="false">IF(D15="","no price data",D15 - (1 * F15))</f>
        <v>188.9</v>
      </c>
      <c r="J15" s="13" t="n">
        <v>0</v>
      </c>
      <c r="K15" s="13" t="s">
        <v>59</v>
      </c>
      <c r="L15" s="13" t="s">
        <v>38</v>
      </c>
      <c r="M15" s="16" t="n">
        <v>46196.6423958333</v>
      </c>
      <c r="N15" s="15" t="str">
        <f aca="true">IF(NOW()-M15 &gt; TIME(1,0,0), "⚠️ STALE DATA (&gt;1HR)", "✅ AUDITED - PRICE ACCURATE")</f>
        <v>⚠️ STALE DATA (&gt;1HR)</v>
      </c>
      <c r="O15" s="9" t="s">
        <v>35</v>
      </c>
      <c r="P15" s="9"/>
      <c r="Q15" s="10"/>
      <c r="R15" s="10"/>
      <c r="S15" s="9"/>
      <c r="T15" s="10"/>
      <c r="U15" s="9" t="n">
        <f aca="false">(IF(LOWER(P15)="bullish",2,IF(LOWER(P15)="bearish",-2,0)))+(IF(LOWER(L15)="bullish",2,IF(LOWER(L15)="bearish",-2,0)))</f>
        <v>0</v>
      </c>
      <c r="V15" s="9" t="str">
        <f aca="false">IF(U15&gt;=3,"Strong",IF(U15&lt;=-3,"Weak","Mixed / Watch"))</f>
        <v>Mixed / Watch</v>
      </c>
    </row>
    <row r="16" customFormat="false" ht="26.25" hidden="false" customHeight="true" outlineLevel="0" collapsed="false">
      <c r="A16" s="13" t="s">
        <v>60</v>
      </c>
      <c r="B16" s="13" t="s">
        <v>61</v>
      </c>
      <c r="C16" s="13" t="s">
        <v>58</v>
      </c>
      <c r="D16" s="14" t="n">
        <v>45</v>
      </c>
      <c r="E16" s="13" t="n">
        <v>60</v>
      </c>
      <c r="F16" s="13" t="n">
        <v>2.5</v>
      </c>
      <c r="G16" s="15" t="n">
        <f aca="false">IF(D16="","no price data",IF(O16="Core Accumulation","n/a (no tight stop)",D16 - (1.5 * F16)))</f>
        <v>41.25</v>
      </c>
      <c r="H16" s="15" t="n">
        <f aca="false">IF(D16="","no price data",D16 - (2.5 * F16))</f>
        <v>38.75</v>
      </c>
      <c r="I16" s="15" t="n">
        <f aca="false">IF(D16="","no price data",D16 - (1 * F16))</f>
        <v>42.5</v>
      </c>
      <c r="J16" s="13" t="n">
        <v>0</v>
      </c>
      <c r="K16" s="13" t="s">
        <v>62</v>
      </c>
      <c r="L16" s="13" t="s">
        <v>30</v>
      </c>
      <c r="M16" s="16" t="n">
        <v>46196.6486226852</v>
      </c>
      <c r="N16" s="15" t="str">
        <f aca="true">IF(NOW()-M16 &gt; TIME(1,0,0), "⚠️ STALE DATA (&gt;1HR)", "✅ AUDITED - PRICE ACCURATE")</f>
        <v>⚠️ STALE DATA (&gt;1HR)</v>
      </c>
      <c r="O16" s="9" t="s">
        <v>35</v>
      </c>
      <c r="P16" s="9"/>
      <c r="Q16" s="10"/>
      <c r="R16" s="10"/>
      <c r="S16" s="9"/>
      <c r="T16" s="10"/>
      <c r="U16" s="9" t="n">
        <f aca="false">(IF(LOWER(P16)="bullish",2,IF(LOWER(P16)="bearish",-2,0)))+(IF(LOWER(L16)="bullish",2,IF(LOWER(L16)="bearish",-2,0)))</f>
        <v>2</v>
      </c>
      <c r="V16" s="9" t="str">
        <f aca="false">IF(U16&gt;=3,"Strong",IF(U16&lt;=-3,"Weak","Mixed / Watch"))</f>
        <v>Mixed / Watch</v>
      </c>
    </row>
    <row r="17" customFormat="false" ht="51.75" hidden="false" customHeight="true" outlineLevel="0" collapsed="false">
      <c r="A17" s="13" t="s">
        <v>63</v>
      </c>
      <c r="B17" s="13" t="s">
        <v>64</v>
      </c>
      <c r="C17" s="13" t="s">
        <v>58</v>
      </c>
      <c r="D17" s="14" t="n">
        <v>165</v>
      </c>
      <c r="E17" s="13" t="n">
        <v>210</v>
      </c>
      <c r="F17" s="13" t="n">
        <v>6.5</v>
      </c>
      <c r="G17" s="15" t="n">
        <f aca="false">IF(D17="","no price data",IF(O17="Core Accumulation","n/a (no tight stop)",D17 - (1.5 * F17)))</f>
        <v>155.25</v>
      </c>
      <c r="H17" s="15" t="n">
        <f aca="false">IF(D17="","no price data",D17 - (2.5 * F17))</f>
        <v>148.75</v>
      </c>
      <c r="I17" s="15" t="n">
        <f aca="false">IF(D17="","no price data",D17 - (1 * F17))</f>
        <v>158.5</v>
      </c>
      <c r="J17" s="13" t="n">
        <v>0</v>
      </c>
      <c r="K17" s="13" t="s">
        <v>62</v>
      </c>
      <c r="L17" s="13" t="s">
        <v>30</v>
      </c>
      <c r="M17" s="16" t="n">
        <v>46196.6486226852</v>
      </c>
      <c r="N17" s="15" t="str">
        <f aca="true">IF(NOW()-M17 &gt; TIME(1,0,0), "⚠️ STALE DATA (&gt;1HR)", "✅ AUDITED - PRICE ACCURATE")</f>
        <v>⚠️ STALE DATA (&gt;1HR)</v>
      </c>
      <c r="O17" s="9" t="s">
        <v>35</v>
      </c>
      <c r="P17" s="9"/>
      <c r="Q17" s="10"/>
      <c r="R17" s="10"/>
      <c r="S17" s="9"/>
      <c r="T17" s="10"/>
      <c r="U17" s="9" t="n">
        <f aca="false">(IF(LOWER(P17)="bullish",2,IF(LOWER(P17)="bearish",-2,0)))+(IF(LOWER(L17)="bullish",2,IF(LOWER(L17)="bearish",-2,0)))</f>
        <v>2</v>
      </c>
      <c r="V17" s="9" t="str">
        <f aca="false">IF(U17&gt;=3,"Strong",IF(U17&lt;=-3,"Weak","Mixed / Watch"))</f>
        <v>Mixed / Watch</v>
      </c>
    </row>
    <row r="18" customFormat="false" ht="26.25" hidden="false" customHeight="true" outlineLevel="0" collapsed="false">
      <c r="A18" s="13" t="s">
        <v>65</v>
      </c>
      <c r="B18" s="13" t="s">
        <v>66</v>
      </c>
      <c r="C18" s="13" t="s">
        <v>58</v>
      </c>
      <c r="D18" s="14" t="n">
        <v>185</v>
      </c>
      <c r="E18" s="13" t="n">
        <v>195</v>
      </c>
      <c r="F18" s="13" t="n">
        <v>3.2</v>
      </c>
      <c r="G18" s="15" t="str">
        <f aca="false">IF(D18="","no price data",IF(O18="Core Accumulation","n/a (no tight stop)",D18 - (1.5 * F18)))</f>
        <v>n/a (no tight stop)</v>
      </c>
      <c r="H18" s="15" t="n">
        <f aca="false">IF(D18="","no price data",D18 - (2.5 * F18))</f>
        <v>177</v>
      </c>
      <c r="I18" s="15" t="n">
        <f aca="false">IF(D18="","no price data",D18 - (1 * F18))</f>
        <v>181.8</v>
      </c>
      <c r="J18" s="13" t="n">
        <v>0</v>
      </c>
      <c r="K18" s="13" t="s">
        <v>59</v>
      </c>
      <c r="L18" s="13" t="s">
        <v>30</v>
      </c>
      <c r="M18" s="16" t="n">
        <v>46196.6486226852</v>
      </c>
      <c r="N18" s="15" t="str">
        <f aca="true">IF(NOW()-M18 &gt; TIME(1,0,0), "⚠️ STALE DATA (&gt;1HR)", "✅ AUDITED - PRICE ACCURATE")</f>
        <v>⚠️ STALE DATA (&gt;1HR)</v>
      </c>
      <c r="O18" s="9" t="s">
        <v>31</v>
      </c>
      <c r="P18" s="9"/>
      <c r="Q18" s="10"/>
      <c r="R18" s="10"/>
      <c r="S18" s="9"/>
      <c r="T18" s="10"/>
      <c r="U18" s="9" t="n">
        <f aca="false">(IF(LOWER(P18)="bullish",2,IF(LOWER(P18)="bearish",-2,0)))+(IF(LOWER(L18)="bullish",2,IF(LOWER(L18)="bearish",-2,0)))</f>
        <v>2</v>
      </c>
      <c r="V18" s="9" t="str">
        <f aca="false">IF(U18&gt;=3,"Strong",IF(U18&lt;=-3,"Weak","Mixed / Watch"))</f>
        <v>Mixed / Watch</v>
      </c>
    </row>
    <row r="19" customFormat="false" ht="26.25" hidden="false" customHeight="true" outlineLevel="0" collapsed="false">
      <c r="A19" s="13" t="s">
        <v>67</v>
      </c>
      <c r="B19" s="13" t="s">
        <v>68</v>
      </c>
      <c r="C19" s="13" t="s">
        <v>58</v>
      </c>
      <c r="D19" s="14" t="n">
        <v>1450</v>
      </c>
      <c r="E19" s="13" t="n">
        <v>1500</v>
      </c>
      <c r="F19" s="13" t="n">
        <v>35</v>
      </c>
      <c r="G19" s="15" t="n">
        <f aca="false">IF(D19="","no price data",IF(O19="Core Accumulation","n/a (no tight stop)",D19 - (1.5 * F19)))</f>
        <v>1397.5</v>
      </c>
      <c r="H19" s="15" t="n">
        <f aca="false">IF(D19="","no price data",D19 - (2.5 * F19))</f>
        <v>1362.5</v>
      </c>
      <c r="I19" s="15" t="n">
        <f aca="false">IF(D19="","no price data",D19 - (1 * F19))</f>
        <v>1415</v>
      </c>
      <c r="J19" s="13" t="n">
        <v>0</v>
      </c>
      <c r="K19" s="13" t="s">
        <v>62</v>
      </c>
      <c r="L19" s="13" t="s">
        <v>30</v>
      </c>
      <c r="M19" s="16" t="n">
        <v>46196.6486226852</v>
      </c>
      <c r="N19" s="15" t="str">
        <f aca="true">IF(NOW()-M19 &gt; TIME(1,0,0), "⚠️ STALE DATA (&gt;1HR)", "✅ AUDITED - PRICE ACCURATE")</f>
        <v>⚠️ STALE DATA (&gt;1HR)</v>
      </c>
      <c r="O19" s="9" t="s">
        <v>35</v>
      </c>
      <c r="P19" s="9"/>
      <c r="Q19" s="10"/>
      <c r="R19" s="10"/>
      <c r="S19" s="9"/>
      <c r="T19" s="10"/>
      <c r="U19" s="9" t="n">
        <f aca="false">(IF(LOWER(P19)="bullish",2,IF(LOWER(P19)="bearish",-2,0)))+(IF(LOWER(L19)="bullish",2,IF(LOWER(L19)="bearish",-2,0)))</f>
        <v>2</v>
      </c>
      <c r="V19" s="9" t="str">
        <f aca="false">IF(U19&gt;=3,"Strong",IF(U19&lt;=-3,"Weak","Mixed / Watch"))</f>
        <v>Mixed / Watch</v>
      </c>
    </row>
    <row r="20" customFormat="false" ht="39" hidden="false" customHeight="true" outlineLevel="0" collapsed="false">
      <c r="A20" s="13" t="s">
        <v>69</v>
      </c>
      <c r="B20" s="13" t="s">
        <v>70</v>
      </c>
      <c r="C20" s="13" t="s">
        <v>58</v>
      </c>
      <c r="D20" s="14" t="n">
        <v>175</v>
      </c>
      <c r="E20" s="13" t="n">
        <v>185</v>
      </c>
      <c r="F20" s="13" t="n">
        <v>2.8</v>
      </c>
      <c r="G20" s="15" t="str">
        <f aca="false">IF(D20="","no price data",IF(O20="Core Accumulation","n/a (no tight stop)",D20 - (1.5 * F20)))</f>
        <v>n/a (no tight stop)</v>
      </c>
      <c r="H20" s="15" t="n">
        <f aca="false">IF(D20="","no price data",D20 - (2.5 * F20))</f>
        <v>168</v>
      </c>
      <c r="I20" s="15" t="n">
        <f aca="false">IF(D20="","no price data",D20 - (1 * F20))</f>
        <v>172.2</v>
      </c>
      <c r="J20" s="13" t="n">
        <v>0</v>
      </c>
      <c r="K20" s="13" t="s">
        <v>59</v>
      </c>
      <c r="L20" s="13" t="s">
        <v>30</v>
      </c>
      <c r="M20" s="16" t="n">
        <v>46196.6486226852</v>
      </c>
      <c r="N20" s="15" t="str">
        <f aca="true">IF(NOW()-M20 &gt; TIME(1,0,0), "⚠️ STALE DATA (&gt;1HR)", "✅ AUDITED - PRICE ACCURATE")</f>
        <v>⚠️ STALE DATA (&gt;1HR)</v>
      </c>
      <c r="O20" s="9" t="s">
        <v>31</v>
      </c>
      <c r="P20" s="9"/>
      <c r="Q20" s="10"/>
      <c r="R20" s="10"/>
      <c r="S20" s="9"/>
      <c r="T20" s="10"/>
      <c r="U20" s="9" t="n">
        <f aca="false">(IF(LOWER(P20)="bullish",2,IF(LOWER(P20)="bearish",-2,0)))+(IF(LOWER(L20)="bullish",2,IF(LOWER(L20)="bearish",-2,0)))</f>
        <v>2</v>
      </c>
      <c r="V20" s="9" t="str">
        <f aca="false">IF(U20&gt;=3,"Strong",IF(U20&lt;=-3,"Weak","Mixed / Watch"))</f>
        <v>Mixed / Watch</v>
      </c>
    </row>
    <row r="21" customFormat="false" ht="39" hidden="false" customHeight="true" outlineLevel="0" collapsed="false">
      <c r="A21" s="13" t="s">
        <v>71</v>
      </c>
      <c r="B21" s="13" t="s">
        <v>72</v>
      </c>
      <c r="C21" s="13" t="s">
        <v>58</v>
      </c>
      <c r="D21" s="14" t="n">
        <v>85</v>
      </c>
      <c r="E21" s="13" t="n">
        <v>95</v>
      </c>
      <c r="F21" s="13" t="n">
        <v>1.2</v>
      </c>
      <c r="G21" s="15" t="str">
        <f aca="false">IF(D21="","no price data",IF(O21="Core Accumulation","n/a (no tight stop)",D21 - (1.5 * F21)))</f>
        <v>n/a (no tight stop)</v>
      </c>
      <c r="H21" s="15" t="n">
        <f aca="false">IF(D21="","no price data",D21 - (2.5 * F21))</f>
        <v>82</v>
      </c>
      <c r="I21" s="15" t="n">
        <f aca="false">IF(D21="","no price data",D21 - (1 * F21))</f>
        <v>83.8</v>
      </c>
      <c r="J21" s="13" t="n">
        <v>0</v>
      </c>
      <c r="K21" s="13" t="s">
        <v>29</v>
      </c>
      <c r="L21" s="13" t="s">
        <v>38</v>
      </c>
      <c r="M21" s="16" t="n">
        <v>46196.6486226852</v>
      </c>
      <c r="N21" s="15" t="str">
        <f aca="true">IF(NOW()-M21 &gt; TIME(1,0,0), "⚠️ STALE DATA (&gt;1HR)", "✅ AUDITED - PRICE ACCURATE")</f>
        <v>⚠️ STALE DATA (&gt;1HR)</v>
      </c>
      <c r="O21" s="9" t="s">
        <v>31</v>
      </c>
      <c r="P21" s="9"/>
      <c r="Q21" s="10"/>
      <c r="R21" s="10"/>
      <c r="S21" s="9"/>
      <c r="T21" s="10"/>
      <c r="U21" s="9" t="n">
        <f aca="false">(IF(LOWER(P21)="bullish",2,IF(LOWER(P21)="bearish",-2,0)))+(IF(LOWER(L21)="bullish",2,IF(LOWER(L21)="bearish",-2,0)))</f>
        <v>0</v>
      </c>
      <c r="V21" s="9" t="str">
        <f aca="false">IF(U21&gt;=3,"Strong",IF(U21&lt;=-3,"Weak","Mixed / Watch"))</f>
        <v>Mixed / Watch</v>
      </c>
    </row>
    <row r="22" customFormat="false" ht="39" hidden="false" customHeight="true" outlineLevel="0" collapsed="false">
      <c r="A22" s="13" t="s">
        <v>73</v>
      </c>
      <c r="B22" s="13" t="s">
        <v>74</v>
      </c>
      <c r="C22" s="13" t="s">
        <v>58</v>
      </c>
      <c r="D22" s="14" t="n">
        <v>35</v>
      </c>
      <c r="E22" s="13" t="n">
        <v>45</v>
      </c>
      <c r="F22" s="13" t="n">
        <v>1.5</v>
      </c>
      <c r="G22" s="15" t="n">
        <f aca="false">IF(D22="","no price data",IF(O22="Core Accumulation","n/a (no tight stop)",D22 - (1.5 * F22)))</f>
        <v>32.75</v>
      </c>
      <c r="H22" s="15" t="n">
        <f aca="false">IF(D22="","no price data",D22 - (2.5 * F22))</f>
        <v>31.25</v>
      </c>
      <c r="I22" s="15" t="n">
        <f aca="false">IF(D22="","no price data",D22 - (1 * F22))</f>
        <v>33.5</v>
      </c>
      <c r="J22" s="13" t="n">
        <v>0</v>
      </c>
      <c r="K22" s="13" t="s">
        <v>29</v>
      </c>
      <c r="L22" s="13" t="s">
        <v>30</v>
      </c>
      <c r="M22" s="16" t="n">
        <v>46196.6486226852</v>
      </c>
      <c r="N22" s="15" t="str">
        <f aca="true">IF(NOW()-M22 &gt; TIME(1,0,0), "⚠️ STALE DATA (&gt;1HR)", "✅ AUDITED - PRICE ACCURATE")</f>
        <v>⚠️ STALE DATA (&gt;1HR)</v>
      </c>
      <c r="O22" s="9" t="s">
        <v>35</v>
      </c>
      <c r="P22" s="9"/>
      <c r="Q22" s="10"/>
      <c r="R22" s="10"/>
      <c r="S22" s="9"/>
      <c r="T22" s="10"/>
      <c r="U22" s="9" t="n">
        <f aca="false">(IF(LOWER(P22)="bullish",2,IF(LOWER(P22)="bearish",-2,0)))+(IF(LOWER(L22)="bullish",2,IF(LOWER(L22)="bearish",-2,0)))</f>
        <v>2</v>
      </c>
      <c r="V22" s="9" t="str">
        <f aca="false">IF(U22&gt;=3,"Strong",IF(U22&lt;=-3,"Weak","Mixed / Watch"))</f>
        <v>Mixed / Watch</v>
      </c>
    </row>
    <row r="23" customFormat="false" ht="39" hidden="false" customHeight="true" outlineLevel="0" collapsed="false">
      <c r="A23" s="13" t="s">
        <v>75</v>
      </c>
      <c r="B23" s="13" t="s">
        <v>76</v>
      </c>
      <c r="C23" s="13" t="s">
        <v>58</v>
      </c>
      <c r="D23" s="14" t="n">
        <v>75</v>
      </c>
      <c r="E23" s="13" t="n">
        <v>90</v>
      </c>
      <c r="F23" s="13" t="n">
        <v>2.1</v>
      </c>
      <c r="G23" s="15" t="n">
        <f aca="false">IF(D23="","no price data",IF(O23="Core Accumulation","n/a (no tight stop)",D23 - (1.5 * F23)))</f>
        <v>71.85</v>
      </c>
      <c r="H23" s="15" t="n">
        <f aca="false">IF(D23="","no price data",D23 - (2.5 * F23))</f>
        <v>69.75</v>
      </c>
      <c r="I23" s="15" t="n">
        <f aca="false">IF(D23="","no price data",D23 - (1 * F23))</f>
        <v>72.9</v>
      </c>
      <c r="J23" s="13" t="n">
        <v>0</v>
      </c>
      <c r="K23" s="13" t="s">
        <v>62</v>
      </c>
      <c r="L23" s="13" t="s">
        <v>30</v>
      </c>
      <c r="M23" s="16" t="n">
        <v>46196.6486226852</v>
      </c>
      <c r="N23" s="15" t="str">
        <f aca="true">IF(NOW()-M23 &gt; TIME(1,0,0), "⚠️ STALE DATA (&gt;1HR)", "✅ AUDITED - PRICE ACCURATE")</f>
        <v>⚠️ STALE DATA (&gt;1HR)</v>
      </c>
      <c r="O23" s="9" t="s">
        <v>35</v>
      </c>
      <c r="P23" s="9"/>
      <c r="Q23" s="10"/>
      <c r="R23" s="10"/>
      <c r="S23" s="9"/>
      <c r="T23" s="10"/>
      <c r="U23" s="9" t="n">
        <f aca="false">(IF(LOWER(P23)="bullish",2,IF(LOWER(P23)="bearish",-2,0)))+(IF(LOWER(L23)="bullish",2,IF(LOWER(L23)="bearish",-2,0)))</f>
        <v>2</v>
      </c>
      <c r="V23" s="9" t="str">
        <f aca="false">IF(U23&gt;=3,"Strong",IF(U23&lt;=-3,"Weak","Mixed / Watch"))</f>
        <v>Mixed / Watch</v>
      </c>
    </row>
    <row r="24" customFormat="false" ht="26.25" hidden="false" customHeight="true" outlineLevel="0" collapsed="false">
      <c r="A24" s="13" t="s">
        <v>77</v>
      </c>
      <c r="B24" s="13" t="s">
        <v>78</v>
      </c>
      <c r="C24" s="13" t="s">
        <v>58</v>
      </c>
      <c r="D24" s="14" t="n">
        <v>425.1</v>
      </c>
      <c r="E24" s="13" t="n">
        <v>430.82</v>
      </c>
      <c r="F24" s="13" t="n">
        <v>6.2</v>
      </c>
      <c r="G24" s="15" t="n">
        <f aca="false">IF(D24="","no price data",IF(O24="Core Accumulation","n/a (no tight stop)",D24 - (1.5 * F24)))</f>
        <v>415.8</v>
      </c>
      <c r="H24" s="15" t="n">
        <f aca="false">IF(D24="","no price data",D24 - (2.5 * F24))</f>
        <v>409.6</v>
      </c>
      <c r="I24" s="15" t="n">
        <f aca="false">IF(D24="","no price data",D24 - (1 * F24))</f>
        <v>418.9</v>
      </c>
      <c r="J24" s="13" t="n">
        <v>0</v>
      </c>
      <c r="K24" s="13" t="s">
        <v>62</v>
      </c>
      <c r="L24" s="13" t="s">
        <v>30</v>
      </c>
      <c r="M24" s="16" t="n">
        <v>46196.6423958333</v>
      </c>
      <c r="N24" s="15" t="str">
        <f aca="true">IF(NOW()-M24 &gt; TIME(1,0,0), "⚠️ STALE DATA (&gt;1HR)", "✅ AUDITED - PRICE ACCURATE")</f>
        <v>⚠️ STALE DATA (&gt;1HR)</v>
      </c>
      <c r="O24" s="9" t="s">
        <v>35</v>
      </c>
      <c r="P24" s="9"/>
      <c r="Q24" s="10"/>
      <c r="R24" s="10"/>
      <c r="S24" s="9"/>
      <c r="T24" s="10"/>
      <c r="U24" s="9" t="n">
        <f aca="false">(IF(LOWER(P24)="bullish",2,IF(LOWER(P24)="bearish",-2,0)))+(IF(LOWER(L24)="bullish",2,IF(LOWER(L24)="bearish",-2,0)))</f>
        <v>2</v>
      </c>
      <c r="V24" s="9" t="str">
        <f aca="false">IF(U24&gt;=3,"Strong",IF(U24&lt;=-3,"Weak","Mixed / Watch"))</f>
        <v>Mixed / Watch</v>
      </c>
    </row>
    <row r="25" customFormat="false" ht="39" hidden="false" customHeight="true" outlineLevel="0" collapsed="false">
      <c r="A25" s="13" t="s">
        <v>79</v>
      </c>
      <c r="B25" s="13" t="s">
        <v>80</v>
      </c>
      <c r="C25" s="13" t="s">
        <v>58</v>
      </c>
      <c r="D25" s="14" t="n">
        <v>1550</v>
      </c>
      <c r="E25" s="13" t="n">
        <v>1800</v>
      </c>
      <c r="F25" s="13" t="n">
        <v>85</v>
      </c>
      <c r="G25" s="15" t="n">
        <f aca="false">IF(D25="","no price data",IF(O25="Core Accumulation","n/a (no tight stop)",D25 - (1.5 * F25)))</f>
        <v>1422.5</v>
      </c>
      <c r="H25" s="15" t="n">
        <f aca="false">IF(D25="","no price data",D25 - (2.5 * F25))</f>
        <v>1337.5</v>
      </c>
      <c r="I25" s="15" t="n">
        <f aca="false">IF(D25="","no price data",D25 - (1 * F25))</f>
        <v>1465</v>
      </c>
      <c r="J25" s="13" t="n">
        <v>0</v>
      </c>
      <c r="K25" s="13" t="s">
        <v>81</v>
      </c>
      <c r="L25" s="13" t="s">
        <v>30</v>
      </c>
      <c r="M25" s="16" t="n">
        <v>46196.6486226852</v>
      </c>
      <c r="N25" s="15" t="str">
        <f aca="true">IF(NOW()-M25 &gt; TIME(1,0,0), "⚠️ STALE DATA (&gt;1HR)", "✅ AUDITED - PRICE ACCURATE")</f>
        <v>⚠️ STALE DATA (&gt;1HR)</v>
      </c>
      <c r="O25" s="9" t="s">
        <v>35</v>
      </c>
      <c r="P25" s="9"/>
      <c r="Q25" s="10"/>
      <c r="R25" s="10"/>
      <c r="S25" s="9"/>
      <c r="T25" s="10"/>
      <c r="U25" s="9" t="n">
        <f aca="false">(IF(LOWER(P25)="bullish",2,IF(LOWER(P25)="bearish",-2,0)))+(IF(LOWER(L25)="bullish",2,IF(LOWER(L25)="bearish",-2,0)))</f>
        <v>2</v>
      </c>
      <c r="V25" s="9" t="str">
        <f aca="false">IF(U25&gt;=3,"Strong",IF(U25&lt;=-3,"Weak","Mixed / Watch"))</f>
        <v>Mixed / Watch</v>
      </c>
    </row>
    <row r="26" customFormat="false" ht="39" hidden="false" customHeight="true" outlineLevel="0" collapsed="false">
      <c r="A26" s="13" t="s">
        <v>82</v>
      </c>
      <c r="B26" s="13" t="s">
        <v>83</v>
      </c>
      <c r="C26" s="13" t="s">
        <v>58</v>
      </c>
      <c r="D26" s="14" t="n">
        <v>135</v>
      </c>
      <c r="E26" s="13" t="n">
        <v>155</v>
      </c>
      <c r="F26" s="13" t="n">
        <v>4.5</v>
      </c>
      <c r="G26" s="15" t="n">
        <f aca="false">IF(D26="","no price data",IF(O26="Core Accumulation","n/a (no tight stop)",D26 - (1.5 * F26)))</f>
        <v>128.25</v>
      </c>
      <c r="H26" s="15" t="n">
        <f aca="false">IF(D26="","no price data",D26 - (2.5 * F26))</f>
        <v>123.75</v>
      </c>
      <c r="I26" s="15" t="n">
        <f aca="false">IF(D26="","no price data",D26 - (1 * F26))</f>
        <v>130.5</v>
      </c>
      <c r="J26" s="13" t="n">
        <v>0</v>
      </c>
      <c r="K26" s="13" t="s">
        <v>62</v>
      </c>
      <c r="L26" s="13" t="s">
        <v>30</v>
      </c>
      <c r="M26" s="16" t="n">
        <v>46196.6486226852</v>
      </c>
      <c r="N26" s="15" t="str">
        <f aca="true">IF(NOW()-M26 &gt; TIME(1,0,0), "⚠️ STALE DATA (&gt;1HR)", "✅ AUDITED - PRICE ACCURATE")</f>
        <v>⚠️ STALE DATA (&gt;1HR)</v>
      </c>
      <c r="O26" s="9" t="s">
        <v>35</v>
      </c>
      <c r="P26" s="9"/>
      <c r="Q26" s="10"/>
      <c r="R26" s="10"/>
      <c r="S26" s="9"/>
      <c r="T26" s="10"/>
      <c r="U26" s="9" t="n">
        <f aca="false">(IF(LOWER(P26)="bullish",2,IF(LOWER(P26)="bearish",-2,0)))+(IF(LOWER(L26)="bullish",2,IF(LOWER(L26)="bearish",-2,0)))</f>
        <v>2</v>
      </c>
      <c r="V26" s="9" t="str">
        <f aca="false">IF(U26&gt;=3,"Strong",IF(U26&lt;=-3,"Weak","Mixed / Watch"))</f>
        <v>Mixed / Watch</v>
      </c>
    </row>
    <row r="27" customFormat="false" ht="26.25" hidden="false" customHeight="true" outlineLevel="0" collapsed="false">
      <c r="A27" s="13" t="s">
        <v>84</v>
      </c>
      <c r="B27" s="13" t="s">
        <v>85</v>
      </c>
      <c r="C27" s="13" t="s">
        <v>58</v>
      </c>
      <c r="D27" s="14" t="n">
        <v>125.6</v>
      </c>
      <c r="E27" s="13" t="n">
        <v>140.76</v>
      </c>
      <c r="F27" s="13" t="n">
        <v>5.8</v>
      </c>
      <c r="G27" s="15" t="str">
        <f aca="false">IF(D27="","no price data",IF(O27="Core Accumulation","n/a (no tight stop)",D27 - (1.5 * F27)))</f>
        <v>n/a (no tight stop)</v>
      </c>
      <c r="H27" s="15" t="n">
        <f aca="false">IF(D27="","no price data",D27 - (2.5 * F27))</f>
        <v>111.1</v>
      </c>
      <c r="I27" s="15" t="n">
        <f aca="false">IF(D27="","no price data",D27 - (1 * F27))</f>
        <v>119.8</v>
      </c>
      <c r="J27" s="13" t="n">
        <v>0</v>
      </c>
      <c r="K27" s="13" t="s">
        <v>86</v>
      </c>
      <c r="L27" s="13" t="s">
        <v>87</v>
      </c>
      <c r="M27" s="16" t="n">
        <v>46196.6423958333</v>
      </c>
      <c r="N27" s="15" t="str">
        <f aca="true">IF(NOW()-M27 &gt; TIME(1,0,0), "⚠️ STALE DATA (&gt;1HR)", "✅ AUDITED - PRICE ACCURATE")</f>
        <v>⚠️ STALE DATA (&gt;1HR)</v>
      </c>
      <c r="O27" s="9" t="s">
        <v>31</v>
      </c>
      <c r="P27" s="9"/>
      <c r="Q27" s="10"/>
      <c r="R27" s="10"/>
      <c r="S27" s="9"/>
      <c r="T27" s="10"/>
      <c r="U27" s="9" t="n">
        <f aca="false">(IF(LOWER(P27)="bullish",2,IF(LOWER(P27)="bearish",-2,0)))+(IF(LOWER(L27)="bullish",2,IF(LOWER(L27)="bearish",-2,0)))</f>
        <v>0</v>
      </c>
      <c r="V27" s="9" t="str">
        <f aca="false">IF(U27&gt;=3,"Strong",IF(U27&lt;=-3,"Weak","Mixed / Watch"))</f>
        <v>Mixed / Watch</v>
      </c>
    </row>
    <row r="28" customFormat="false" ht="39" hidden="false" customHeight="true" outlineLevel="0" collapsed="false">
      <c r="A28" s="13" t="s">
        <v>88</v>
      </c>
      <c r="B28" s="13" t="s">
        <v>89</v>
      </c>
      <c r="C28" s="13" t="s">
        <v>58</v>
      </c>
      <c r="D28" s="14" t="n">
        <v>25</v>
      </c>
      <c r="E28" s="13" t="n">
        <v>30</v>
      </c>
      <c r="F28" s="13" t="n">
        <v>1.1</v>
      </c>
      <c r="G28" s="15" t="n">
        <f aca="false">IF(D28="","no price data",IF(O28="Core Accumulation","n/a (no tight stop)",D28 - (1.5 * F28)))</f>
        <v>23.35</v>
      </c>
      <c r="H28" s="15" t="n">
        <f aca="false">IF(D28="","no price data",D28 - (2.5 * F28))</f>
        <v>22.25</v>
      </c>
      <c r="I28" s="15" t="n">
        <f aca="false">IF(D28="","no price data",D28 - (1 * F28))</f>
        <v>23.9</v>
      </c>
      <c r="J28" s="13" t="n">
        <v>0</v>
      </c>
      <c r="K28" s="13" t="s">
        <v>81</v>
      </c>
      <c r="L28" s="13" t="s">
        <v>38</v>
      </c>
      <c r="M28" s="16" t="n">
        <v>46196.6486226852</v>
      </c>
      <c r="N28" s="15" t="str">
        <f aca="true">IF(NOW()-M28 &gt; TIME(1,0,0), "⚠️ STALE DATA (&gt;1HR)", "✅ AUDITED - PRICE ACCURATE")</f>
        <v>⚠️ STALE DATA (&gt;1HR)</v>
      </c>
      <c r="O28" s="9" t="s">
        <v>35</v>
      </c>
      <c r="P28" s="9"/>
      <c r="Q28" s="10"/>
      <c r="R28" s="10"/>
      <c r="S28" s="9"/>
      <c r="T28" s="10"/>
      <c r="U28" s="9" t="n">
        <f aca="false">(IF(LOWER(P28)="bullish",2,IF(LOWER(P28)="bearish",-2,0)))+(IF(LOWER(L28)="bullish",2,IF(LOWER(L28)="bearish",-2,0)))</f>
        <v>0</v>
      </c>
      <c r="V28" s="9" t="str">
        <f aca="false">IF(U28&gt;=3,"Strong",IF(U28&lt;=-3,"Weak","Mixed / Watch"))</f>
        <v>Mixed / Watch</v>
      </c>
    </row>
    <row r="29" customFormat="false" ht="26.25" hidden="false" customHeight="true" outlineLevel="0" collapsed="false">
      <c r="A29" s="13" t="s">
        <v>90</v>
      </c>
      <c r="B29" s="13" t="s">
        <v>91</v>
      </c>
      <c r="C29" s="13" t="s">
        <v>58</v>
      </c>
      <c r="D29" s="14" t="n">
        <v>4.5</v>
      </c>
      <c r="E29" s="13" t="n">
        <v>6.5</v>
      </c>
      <c r="F29" s="13" t="n">
        <v>0.25</v>
      </c>
      <c r="G29" s="15" t="n">
        <f aca="false">IF(D29="","no price data",IF(O29="Core Accumulation","n/a (no tight stop)",D29 - (1.5 * F29)))</f>
        <v>4.125</v>
      </c>
      <c r="H29" s="15" t="n">
        <f aca="false">IF(D29="","no price data",D29 - (2.5 * F29))</f>
        <v>3.875</v>
      </c>
      <c r="I29" s="15" t="n">
        <f aca="false">IF(D29="","no price data",D29 - (1 * F29))</f>
        <v>4.25</v>
      </c>
      <c r="J29" s="13" t="n">
        <v>0</v>
      </c>
      <c r="K29" s="13" t="s">
        <v>92</v>
      </c>
      <c r="L29" s="13" t="s">
        <v>38</v>
      </c>
      <c r="M29" s="16" t="n">
        <v>46196.6486226852</v>
      </c>
      <c r="N29" s="15" t="str">
        <f aca="true">IF(NOW()-M29 &gt; TIME(1,0,0), "⚠️ STALE DATA (&gt;1HR)", "✅ AUDITED - PRICE ACCURATE")</f>
        <v>⚠️ STALE DATA (&gt;1HR)</v>
      </c>
      <c r="O29" s="9" t="s">
        <v>35</v>
      </c>
      <c r="P29" s="9"/>
      <c r="Q29" s="10"/>
      <c r="R29" s="10"/>
      <c r="S29" s="9"/>
      <c r="T29" s="10"/>
      <c r="U29" s="9" t="n">
        <f aca="false">(IF(LOWER(P29)="bullish",2,IF(LOWER(P29)="bearish",-2,0)))+(IF(LOWER(L29)="bullish",2,IF(LOWER(L29)="bearish",-2,0)))</f>
        <v>0</v>
      </c>
      <c r="V29" s="9" t="str">
        <f aca="false">IF(U29&gt;=3,"Strong",IF(U29&lt;=-3,"Weak","Mixed / Watch"))</f>
        <v>Mixed / Watch</v>
      </c>
    </row>
    <row r="30" customFormat="false" ht="26.25" hidden="false" customHeight="true" outlineLevel="0" collapsed="false">
      <c r="A30" s="13" t="s">
        <v>93</v>
      </c>
      <c r="B30" s="13" t="s">
        <v>94</v>
      </c>
      <c r="C30" s="13" t="s">
        <v>58</v>
      </c>
      <c r="D30" s="14" t="n">
        <v>185</v>
      </c>
      <c r="E30" s="13" t="n">
        <v>250</v>
      </c>
      <c r="F30" s="13" t="n">
        <v>7.5</v>
      </c>
      <c r="G30" s="15" t="str">
        <f aca="false">IF(D30="","no price data",IF(O30="Core Accumulation","n/a (no tight stop)",D30 - (1.5 * F30)))</f>
        <v>n/a (no tight stop)</v>
      </c>
      <c r="H30" s="15" t="n">
        <f aca="false">IF(D30="","no price data",D30 - (2.5 * F30))</f>
        <v>166.25</v>
      </c>
      <c r="I30" s="15" t="n">
        <f aca="false">IF(D30="","no price data",D30 - (1 * F30))</f>
        <v>177.5</v>
      </c>
      <c r="J30" s="13" t="n">
        <v>0</v>
      </c>
      <c r="K30" s="13" t="s">
        <v>81</v>
      </c>
      <c r="L30" s="13" t="s">
        <v>38</v>
      </c>
      <c r="M30" s="16" t="n">
        <v>46196.6486226852</v>
      </c>
      <c r="N30" s="15" t="str">
        <f aca="true">IF(NOW()-M30 &gt; TIME(1,0,0), "⚠️ STALE DATA (&gt;1HR)", "✅ AUDITED - PRICE ACCURATE")</f>
        <v>⚠️ STALE DATA (&gt;1HR)</v>
      </c>
      <c r="O30" s="9" t="s">
        <v>31</v>
      </c>
      <c r="P30" s="9"/>
      <c r="Q30" s="10"/>
      <c r="R30" s="10"/>
      <c r="S30" s="9"/>
      <c r="T30" s="10"/>
      <c r="U30" s="9" t="n">
        <f aca="false">(IF(LOWER(P30)="bullish",2,IF(LOWER(P30)="bearish",-2,0)))+(IF(LOWER(L30)="bullish",2,IF(LOWER(L30)="bearish",-2,0)))</f>
        <v>0</v>
      </c>
      <c r="V30" s="9" t="str">
        <f aca="false">IF(U30&gt;=3,"Strong",IF(U30&lt;=-3,"Weak","Mixed / Watch"))</f>
        <v>Mixed / Watch</v>
      </c>
    </row>
    <row r="31" customFormat="false" ht="15.75" hidden="false" customHeight="true" outlineLevel="0" collapsed="false">
      <c r="A31" s="9" t="s">
        <v>95</v>
      </c>
      <c r="B31" s="9" t="s">
        <v>96</v>
      </c>
      <c r="C31" s="9" t="s">
        <v>53</v>
      </c>
      <c r="D31" s="17" t="n">
        <v>9.99</v>
      </c>
      <c r="E31" s="9" t="n">
        <v>9.99</v>
      </c>
      <c r="F31" s="9" t="n">
        <v>0.371</v>
      </c>
      <c r="G31" s="18" t="n">
        <f aca="false">IF(D31="","no price data",IF(O31="Core Accumulation","n/a (no tight stop)",D31 - (1.5 * F31)))</f>
        <v>9.4335</v>
      </c>
      <c r="H31" s="18" t="n">
        <f aca="false">IF(D31="","no price data",D31 - (2.5 * F31))</f>
        <v>9.0625</v>
      </c>
      <c r="I31" s="18" t="n">
        <f aca="false">IF(D31="","no price data",D31 - (1 * F31))</f>
        <v>9.619</v>
      </c>
      <c r="J31" s="9" t="n">
        <v>0</v>
      </c>
      <c r="K31" s="9" t="s">
        <v>29</v>
      </c>
      <c r="L31" s="9" t="s">
        <v>29</v>
      </c>
      <c r="M31" s="19" t="n">
        <v>46200.1540724769</v>
      </c>
      <c r="N31" s="9" t="str">
        <f aca="true">IF(M31="","⏳ NO PRICE DATA YET",IF(NOW()-M31 &gt; TIME(1,0,0), "⚠️ STALE DATA (&gt;1HR)", "✅ AUDITED - PRICE ACCURATE"))</f>
        <v>⚠️ STALE DATA (&gt;1HR)</v>
      </c>
      <c r="O31" s="9" t="s">
        <v>35</v>
      </c>
      <c r="P31" s="9"/>
      <c r="Q31" s="10"/>
      <c r="R31" s="10"/>
      <c r="S31" s="10"/>
      <c r="T31" s="10"/>
      <c r="U31" s="9" t="n">
        <f aca="false">(IF(LOWER(P31)="bullish",2,IF(LOWER(P31)="bearish",-2,0)))+(IF(LOWER(L31)="bullish",2,IF(LOWER(L31)="bearish",-2,0)))</f>
        <v>0</v>
      </c>
      <c r="V31" s="9" t="str">
        <f aca="false">IF(U31&gt;=3,"Strong",IF(U31&lt;=-3,"Weak","Mixed / Watch"))</f>
        <v>Mixed / Watch</v>
      </c>
    </row>
    <row r="32" customFormat="false" ht="15.75" hidden="false" customHeight="true" outlineLevel="0" collapsed="false">
      <c r="A32" s="9" t="s">
        <v>97</v>
      </c>
      <c r="B32" s="9" t="s">
        <v>98</v>
      </c>
      <c r="C32" s="9" t="s">
        <v>53</v>
      </c>
      <c r="D32" s="17" t="n">
        <v>5.75</v>
      </c>
      <c r="E32" s="9" t="n">
        <v>6.04</v>
      </c>
      <c r="F32" s="9" t="n">
        <v>0.17</v>
      </c>
      <c r="G32" s="18" t="n">
        <f aca="false">IF(D32="","no price data",IF(O32="Core Accumulation","n/a (no tight stop)",D32 - (1.5 * F32)))</f>
        <v>5.495</v>
      </c>
      <c r="H32" s="18" t="n">
        <f aca="false">IF(D32="","no price data",D32 - (2.5 * F32))</f>
        <v>5.325</v>
      </c>
      <c r="I32" s="18" t="n">
        <f aca="false">IF(D32="","no price data",D32 - (1 * F32))</f>
        <v>5.58</v>
      </c>
      <c r="J32" s="9" t="n">
        <v>0</v>
      </c>
      <c r="K32" s="9" t="s">
        <v>29</v>
      </c>
      <c r="L32" s="9" t="s">
        <v>29</v>
      </c>
      <c r="M32" s="19" t="n">
        <v>46200.1573600232</v>
      </c>
      <c r="N32" s="9" t="str">
        <f aca="true">IF(M32="","⏳ NO PRICE DATA YET",IF(NOW()-M32 &gt; TIME(1,0,0), "⚠️ STALE DATA (&gt;1HR)", "✅ AUDITED - PRICE ACCURATE"))</f>
        <v>⚠️ STALE DATA (&gt;1HR)</v>
      </c>
      <c r="O32" s="9" t="s">
        <v>35</v>
      </c>
      <c r="P32" s="9"/>
      <c r="Q32" s="10"/>
      <c r="R32" s="10"/>
      <c r="S32" s="10"/>
      <c r="T32" s="10"/>
      <c r="U32" s="9" t="n">
        <f aca="false">(IF(LOWER(P32)="bullish",2,IF(LOWER(P32)="bearish",-2,0)))+(IF(LOWER(L32)="bullish",2,IF(LOWER(L32)="bearish",-2,0)))</f>
        <v>0</v>
      </c>
      <c r="V32" s="9" t="str">
        <f aca="false">IF(U32&gt;=3,"Strong",IF(U32&lt;=-3,"Weak","Mixed / Watch"))</f>
        <v>Mixed / Watch</v>
      </c>
    </row>
    <row r="33" customFormat="false" ht="15.75" hidden="false" customHeight="true" outlineLevel="0" collapsed="false">
      <c r="A33" s="9" t="s">
        <v>99</v>
      </c>
      <c r="B33" s="9" t="s">
        <v>100</v>
      </c>
      <c r="C33" s="9" t="s">
        <v>58</v>
      </c>
      <c r="D33" s="17" t="n">
        <v>94.81</v>
      </c>
      <c r="E33" s="9" t="n">
        <v>192.13</v>
      </c>
      <c r="F33" s="9" t="n">
        <v>3.52</v>
      </c>
      <c r="G33" s="18" t="n">
        <f aca="false">IF(D33="","no price data",IF(O33="Core Accumulation","n/a (no tight stop)",D33 - (1.5 * F33)))</f>
        <v>89.53</v>
      </c>
      <c r="H33" s="18" t="n">
        <f aca="false">IF(D33="","no price data",D33 - (2.5 * F33))</f>
        <v>86.01</v>
      </c>
      <c r="I33" s="18" t="n">
        <f aca="false">IF(D33="","no price data",D33 - (1 * F33))</f>
        <v>91.29</v>
      </c>
      <c r="J33" s="9" t="n">
        <v>0</v>
      </c>
      <c r="K33" s="9" t="s">
        <v>29</v>
      </c>
      <c r="L33" s="9" t="s">
        <v>29</v>
      </c>
      <c r="M33" s="19" t="n">
        <v>46200.1588426042</v>
      </c>
      <c r="N33" s="9" t="str">
        <f aca="true">IF(M33="","⏳ NO PRICE DATA YET",IF(NOW()-M33 &gt; TIME(1,0,0), "⚠️ STALE DATA (&gt;1HR)", "✅ AUDITED - PRICE ACCURATE"))</f>
        <v>⚠️ STALE DATA (&gt;1HR)</v>
      </c>
      <c r="O33" s="9" t="s">
        <v>35</v>
      </c>
      <c r="P33" s="9"/>
      <c r="Q33" s="10"/>
      <c r="R33" s="10"/>
      <c r="S33" s="10"/>
      <c r="T33" s="10"/>
      <c r="U33" s="9" t="n">
        <f aca="false">(IF(LOWER(P33)="bullish",2,IF(LOWER(P33)="bearish",-2,0)))+(IF(LOWER(L33)="bullish",2,IF(LOWER(L33)="bearish",-2,0)))</f>
        <v>0</v>
      </c>
      <c r="V33" s="9" t="str">
        <f aca="false">IF(U33&gt;=3,"Strong",IF(U33&lt;=-3,"Weak","Mixed / Watch"))</f>
        <v>Mixed / Watch</v>
      </c>
    </row>
    <row r="34" customFormat="false" ht="15.75" hidden="false" customHeight="true" outlineLevel="0" collapsed="false">
      <c r="D34" s="20"/>
      <c r="G34" s="15" t="n">
        <f aca="false">D34 - (1.5 * F34)</f>
        <v>0</v>
      </c>
      <c r="H34" s="15" t="n">
        <f aca="false">D34 - (2.5 * F34)</f>
        <v>0</v>
      </c>
      <c r="I34" s="15" t="n">
        <f aca="false">D34 - (1 * F34)</f>
        <v>0</v>
      </c>
      <c r="Q34" s="21"/>
      <c r="R34" s="21"/>
      <c r="S34" s="21"/>
      <c r="T34" s="21"/>
    </row>
    <row r="35" customFormat="false" ht="15.75" hidden="false" customHeight="true" outlineLevel="0" collapsed="false">
      <c r="D35" s="20"/>
      <c r="Q35" s="21"/>
      <c r="R35" s="21"/>
      <c r="S35" s="21"/>
      <c r="T35" s="21"/>
    </row>
    <row r="36" customFormat="false" ht="15.75" hidden="false" customHeight="true" outlineLevel="0" collapsed="false">
      <c r="D36" s="20"/>
      <c r="Q36" s="21"/>
      <c r="R36" s="21"/>
      <c r="S36" s="21"/>
      <c r="T36" s="21"/>
    </row>
    <row r="37" customFormat="false" ht="15.75" hidden="false" customHeight="true" outlineLevel="0" collapsed="false">
      <c r="D37" s="20"/>
      <c r="Q37" s="21"/>
      <c r="R37" s="21"/>
      <c r="S37" s="21"/>
      <c r="T37" s="21"/>
    </row>
    <row r="38" customFormat="false" ht="15.75" hidden="false" customHeight="true" outlineLevel="0" collapsed="false">
      <c r="D38" s="20"/>
      <c r="Q38" s="21"/>
      <c r="R38" s="21"/>
      <c r="S38" s="21"/>
      <c r="T38" s="21"/>
    </row>
    <row r="39" customFormat="false" ht="15.75" hidden="false" customHeight="true" outlineLevel="0" collapsed="false">
      <c r="D39" s="20"/>
      <c r="Q39" s="21"/>
      <c r="R39" s="21"/>
      <c r="S39" s="21"/>
      <c r="T39" s="21"/>
    </row>
    <row r="40" customFormat="false" ht="15.75" hidden="false" customHeight="true" outlineLevel="0" collapsed="false">
      <c r="D40" s="20"/>
      <c r="Q40" s="21"/>
      <c r="R40" s="21"/>
      <c r="S40" s="21"/>
      <c r="T40" s="21"/>
    </row>
    <row r="41" customFormat="false" ht="15.75" hidden="false" customHeight="true" outlineLevel="0" collapsed="false">
      <c r="D41" s="20"/>
      <c r="Q41" s="21"/>
      <c r="R41" s="21"/>
      <c r="S41" s="21"/>
      <c r="T41" s="21"/>
    </row>
    <row r="42" customFormat="false" ht="15.75" hidden="false" customHeight="true" outlineLevel="0" collapsed="false">
      <c r="D42" s="20"/>
      <c r="Q42" s="21"/>
      <c r="R42" s="21"/>
      <c r="S42" s="21"/>
      <c r="T42" s="21"/>
    </row>
    <row r="43" customFormat="false" ht="15.75" hidden="false" customHeight="true" outlineLevel="0" collapsed="false">
      <c r="D43" s="20"/>
      <c r="Q43" s="21"/>
      <c r="R43" s="21"/>
      <c r="S43" s="21"/>
      <c r="T43" s="21"/>
    </row>
    <row r="44" customFormat="false" ht="15.75" hidden="false" customHeight="true" outlineLevel="0" collapsed="false">
      <c r="D44" s="20"/>
      <c r="Q44" s="21"/>
      <c r="R44" s="21"/>
      <c r="S44" s="21"/>
      <c r="T44" s="21"/>
    </row>
    <row r="45" customFormat="false" ht="15.75" hidden="false" customHeight="true" outlineLevel="0" collapsed="false">
      <c r="D45" s="20"/>
      <c r="Q45" s="21"/>
      <c r="R45" s="21"/>
      <c r="S45" s="21"/>
      <c r="T45" s="21"/>
    </row>
    <row r="46" customFormat="false" ht="15.75" hidden="false" customHeight="true" outlineLevel="0" collapsed="false">
      <c r="D46" s="20"/>
      <c r="Q46" s="21"/>
      <c r="R46" s="21"/>
      <c r="S46" s="21"/>
      <c r="T46" s="21"/>
    </row>
    <row r="47" customFormat="false" ht="15.75" hidden="false" customHeight="true" outlineLevel="0" collapsed="false">
      <c r="D47" s="20"/>
      <c r="Q47" s="21"/>
      <c r="R47" s="21"/>
      <c r="S47" s="21"/>
      <c r="T47" s="21"/>
    </row>
    <row r="48" customFormat="false" ht="15.75" hidden="false" customHeight="true" outlineLevel="0" collapsed="false">
      <c r="D48" s="20"/>
      <c r="Q48" s="21"/>
      <c r="R48" s="21"/>
      <c r="S48" s="21"/>
      <c r="T48" s="21"/>
    </row>
    <row r="49" customFormat="false" ht="15.75" hidden="false" customHeight="true" outlineLevel="0" collapsed="false">
      <c r="D49" s="20"/>
      <c r="Q49" s="21"/>
      <c r="R49" s="21"/>
      <c r="S49" s="21"/>
      <c r="T49" s="21"/>
    </row>
    <row r="50" customFormat="false" ht="15.75" hidden="false" customHeight="true" outlineLevel="0" collapsed="false">
      <c r="D50" s="20"/>
      <c r="Q50" s="21"/>
      <c r="R50" s="21"/>
      <c r="S50" s="21"/>
      <c r="T50" s="21"/>
    </row>
    <row r="51" customFormat="false" ht="15.75" hidden="false" customHeight="true" outlineLevel="0" collapsed="false">
      <c r="D51" s="20"/>
      <c r="Q51" s="21"/>
      <c r="R51" s="21"/>
      <c r="S51" s="21"/>
      <c r="T51" s="21"/>
    </row>
    <row r="52" customFormat="false" ht="15.75" hidden="false" customHeight="true" outlineLevel="0" collapsed="false">
      <c r="D52" s="20"/>
      <c r="Q52" s="21"/>
      <c r="R52" s="21"/>
      <c r="S52" s="21"/>
      <c r="T52" s="21"/>
    </row>
    <row r="53" customFormat="false" ht="15.75" hidden="false" customHeight="true" outlineLevel="0" collapsed="false">
      <c r="D53" s="20"/>
      <c r="Q53" s="21"/>
      <c r="R53" s="21"/>
      <c r="S53" s="21"/>
      <c r="T53" s="21"/>
    </row>
    <row r="54" customFormat="false" ht="15.75" hidden="false" customHeight="true" outlineLevel="0" collapsed="false">
      <c r="D54" s="20"/>
      <c r="Q54" s="21"/>
      <c r="R54" s="21"/>
      <c r="S54" s="21"/>
      <c r="T54" s="21"/>
    </row>
    <row r="55" customFormat="false" ht="15.75" hidden="false" customHeight="true" outlineLevel="0" collapsed="false">
      <c r="D55" s="20"/>
      <c r="Q55" s="21"/>
      <c r="R55" s="21"/>
      <c r="S55" s="21"/>
      <c r="T55" s="21"/>
    </row>
    <row r="56" customFormat="false" ht="15.75" hidden="false" customHeight="true" outlineLevel="0" collapsed="false">
      <c r="D56" s="20"/>
      <c r="Q56" s="21"/>
      <c r="R56" s="21"/>
      <c r="S56" s="21"/>
      <c r="T56" s="21"/>
    </row>
    <row r="57" customFormat="false" ht="15.75" hidden="false" customHeight="true" outlineLevel="0" collapsed="false">
      <c r="D57" s="20"/>
      <c r="Q57" s="21"/>
      <c r="R57" s="21"/>
      <c r="S57" s="21"/>
      <c r="T57" s="21"/>
    </row>
    <row r="58" customFormat="false" ht="15.75" hidden="false" customHeight="true" outlineLevel="0" collapsed="false">
      <c r="D58" s="20"/>
      <c r="Q58" s="21"/>
      <c r="R58" s="21"/>
      <c r="S58" s="21"/>
      <c r="T58" s="21"/>
    </row>
    <row r="59" customFormat="false" ht="15.75" hidden="false" customHeight="true" outlineLevel="0" collapsed="false">
      <c r="D59" s="20"/>
      <c r="Q59" s="21"/>
      <c r="R59" s="21"/>
      <c r="S59" s="21"/>
      <c r="T59" s="21"/>
    </row>
    <row r="60" customFormat="false" ht="15.75" hidden="false" customHeight="true" outlineLevel="0" collapsed="false">
      <c r="D60" s="20"/>
      <c r="Q60" s="21"/>
      <c r="R60" s="21"/>
      <c r="S60" s="21"/>
      <c r="T60" s="21"/>
    </row>
    <row r="61" customFormat="false" ht="15.75" hidden="false" customHeight="true" outlineLevel="0" collapsed="false">
      <c r="D61" s="20"/>
      <c r="Q61" s="21"/>
      <c r="R61" s="21"/>
      <c r="S61" s="21"/>
      <c r="T61" s="21"/>
    </row>
    <row r="62" customFormat="false" ht="15.75" hidden="false" customHeight="true" outlineLevel="0" collapsed="false">
      <c r="D62" s="20"/>
      <c r="Q62" s="21"/>
      <c r="R62" s="21"/>
      <c r="S62" s="21"/>
      <c r="T62" s="21"/>
    </row>
    <row r="63" customFormat="false" ht="15.75" hidden="false" customHeight="true" outlineLevel="0" collapsed="false">
      <c r="D63" s="20"/>
      <c r="Q63" s="21"/>
      <c r="R63" s="21"/>
      <c r="S63" s="21"/>
      <c r="T63" s="21"/>
    </row>
    <row r="64" customFormat="false" ht="15.75" hidden="false" customHeight="true" outlineLevel="0" collapsed="false">
      <c r="D64" s="20"/>
      <c r="Q64" s="21"/>
      <c r="R64" s="21"/>
      <c r="S64" s="21"/>
      <c r="T64" s="21"/>
    </row>
    <row r="65" customFormat="false" ht="15.75" hidden="false" customHeight="true" outlineLevel="0" collapsed="false">
      <c r="D65" s="20"/>
      <c r="Q65" s="21"/>
      <c r="R65" s="21"/>
      <c r="S65" s="21"/>
      <c r="T65" s="21"/>
    </row>
    <row r="66" customFormat="false" ht="15.75" hidden="false" customHeight="true" outlineLevel="0" collapsed="false">
      <c r="D66" s="20"/>
      <c r="Q66" s="21"/>
      <c r="R66" s="21"/>
      <c r="S66" s="21"/>
      <c r="T66" s="21"/>
    </row>
    <row r="67" customFormat="false" ht="15.75" hidden="false" customHeight="true" outlineLevel="0" collapsed="false">
      <c r="D67" s="20"/>
      <c r="Q67" s="21"/>
      <c r="R67" s="21"/>
      <c r="S67" s="21"/>
      <c r="T67" s="21"/>
    </row>
    <row r="68" customFormat="false" ht="15.75" hidden="false" customHeight="true" outlineLevel="0" collapsed="false">
      <c r="D68" s="20"/>
      <c r="Q68" s="21"/>
      <c r="R68" s="21"/>
      <c r="S68" s="21"/>
      <c r="T68" s="21"/>
    </row>
    <row r="69" customFormat="false" ht="15.75" hidden="false" customHeight="true" outlineLevel="0" collapsed="false">
      <c r="D69" s="20"/>
      <c r="Q69" s="21"/>
      <c r="R69" s="21"/>
      <c r="S69" s="21"/>
      <c r="T69" s="21"/>
    </row>
    <row r="70" customFormat="false" ht="15.75" hidden="false" customHeight="true" outlineLevel="0" collapsed="false">
      <c r="D70" s="20"/>
      <c r="Q70" s="21"/>
      <c r="R70" s="21"/>
      <c r="S70" s="21"/>
      <c r="T70" s="21"/>
    </row>
    <row r="71" customFormat="false" ht="15.75" hidden="false" customHeight="true" outlineLevel="0" collapsed="false">
      <c r="D71" s="20"/>
      <c r="Q71" s="21"/>
      <c r="R71" s="21"/>
      <c r="S71" s="21"/>
      <c r="T71" s="21"/>
    </row>
    <row r="72" customFormat="false" ht="15.75" hidden="false" customHeight="true" outlineLevel="0" collapsed="false">
      <c r="D72" s="20"/>
      <c r="Q72" s="21"/>
      <c r="R72" s="21"/>
      <c r="S72" s="21"/>
      <c r="T72" s="21"/>
    </row>
    <row r="73" customFormat="false" ht="15.75" hidden="false" customHeight="true" outlineLevel="0" collapsed="false">
      <c r="D73" s="20"/>
      <c r="Q73" s="21"/>
      <c r="R73" s="21"/>
      <c r="S73" s="21"/>
      <c r="T73" s="21"/>
    </row>
    <row r="74" customFormat="false" ht="15.75" hidden="false" customHeight="true" outlineLevel="0" collapsed="false">
      <c r="D74" s="20"/>
      <c r="Q74" s="21"/>
      <c r="R74" s="21"/>
      <c r="S74" s="21"/>
      <c r="T74" s="21"/>
    </row>
    <row r="75" customFormat="false" ht="15.75" hidden="false" customHeight="true" outlineLevel="0" collapsed="false">
      <c r="D75" s="20"/>
      <c r="Q75" s="21"/>
      <c r="R75" s="21"/>
      <c r="S75" s="21"/>
      <c r="T75" s="21"/>
    </row>
    <row r="76" customFormat="false" ht="15.75" hidden="false" customHeight="true" outlineLevel="0" collapsed="false">
      <c r="D76" s="20"/>
      <c r="Q76" s="21"/>
      <c r="R76" s="21"/>
      <c r="S76" s="21"/>
      <c r="T76" s="21"/>
    </row>
    <row r="77" customFormat="false" ht="15.75" hidden="false" customHeight="true" outlineLevel="0" collapsed="false">
      <c r="D77" s="20"/>
      <c r="Q77" s="21"/>
      <c r="R77" s="21"/>
      <c r="S77" s="21"/>
      <c r="T77" s="21"/>
    </row>
    <row r="78" customFormat="false" ht="15.75" hidden="false" customHeight="true" outlineLevel="0" collapsed="false">
      <c r="D78" s="20"/>
      <c r="Q78" s="21"/>
      <c r="R78" s="21"/>
      <c r="S78" s="21"/>
      <c r="T78" s="21"/>
    </row>
    <row r="79" customFormat="false" ht="15.75" hidden="false" customHeight="true" outlineLevel="0" collapsed="false">
      <c r="D79" s="20"/>
      <c r="Q79" s="21"/>
      <c r="R79" s="21"/>
      <c r="S79" s="21"/>
      <c r="T79" s="21"/>
    </row>
    <row r="80" customFormat="false" ht="15.75" hidden="false" customHeight="true" outlineLevel="0" collapsed="false">
      <c r="D80" s="20"/>
      <c r="Q80" s="21"/>
      <c r="R80" s="21"/>
      <c r="S80" s="21"/>
      <c r="T80" s="21"/>
    </row>
    <row r="81" customFormat="false" ht="15.75" hidden="false" customHeight="true" outlineLevel="0" collapsed="false">
      <c r="D81" s="20"/>
      <c r="Q81" s="21"/>
      <c r="R81" s="21"/>
      <c r="S81" s="21"/>
      <c r="T81" s="21"/>
    </row>
    <row r="82" customFormat="false" ht="15.75" hidden="false" customHeight="true" outlineLevel="0" collapsed="false">
      <c r="D82" s="20"/>
      <c r="Q82" s="21"/>
      <c r="R82" s="21"/>
      <c r="S82" s="21"/>
      <c r="T82" s="21"/>
    </row>
    <row r="83" customFormat="false" ht="15.75" hidden="false" customHeight="true" outlineLevel="0" collapsed="false">
      <c r="D83" s="20"/>
      <c r="Q83" s="21"/>
      <c r="R83" s="21"/>
      <c r="S83" s="21"/>
      <c r="T83" s="21"/>
    </row>
    <row r="84" customFormat="false" ht="15.75" hidden="false" customHeight="true" outlineLevel="0" collapsed="false">
      <c r="D84" s="20"/>
      <c r="Q84" s="21"/>
      <c r="R84" s="21"/>
      <c r="S84" s="21"/>
      <c r="T84" s="21"/>
    </row>
    <row r="85" customFormat="false" ht="15.75" hidden="false" customHeight="true" outlineLevel="0" collapsed="false">
      <c r="D85" s="20"/>
      <c r="Q85" s="21"/>
      <c r="R85" s="21"/>
      <c r="S85" s="21"/>
      <c r="T85" s="21"/>
    </row>
    <row r="86" customFormat="false" ht="15.75" hidden="false" customHeight="true" outlineLevel="0" collapsed="false">
      <c r="D86" s="20"/>
      <c r="Q86" s="21"/>
      <c r="R86" s="21"/>
      <c r="S86" s="21"/>
      <c r="T86" s="21"/>
    </row>
    <row r="87" customFormat="false" ht="15.75" hidden="false" customHeight="true" outlineLevel="0" collapsed="false">
      <c r="D87" s="20"/>
      <c r="Q87" s="21"/>
      <c r="R87" s="21"/>
      <c r="S87" s="21"/>
      <c r="T87" s="21"/>
    </row>
    <row r="88" customFormat="false" ht="15.75" hidden="false" customHeight="true" outlineLevel="0" collapsed="false">
      <c r="D88" s="20"/>
      <c r="Q88" s="21"/>
      <c r="R88" s="21"/>
      <c r="S88" s="21"/>
      <c r="T88" s="21"/>
    </row>
    <row r="89" customFormat="false" ht="15.75" hidden="false" customHeight="true" outlineLevel="0" collapsed="false">
      <c r="D89" s="20"/>
      <c r="Q89" s="21"/>
      <c r="R89" s="21"/>
      <c r="S89" s="21"/>
      <c r="T89" s="21"/>
    </row>
    <row r="90" customFormat="false" ht="15.75" hidden="false" customHeight="true" outlineLevel="0" collapsed="false">
      <c r="D90" s="20"/>
      <c r="Q90" s="21"/>
      <c r="R90" s="21"/>
      <c r="S90" s="21"/>
      <c r="T90" s="21"/>
    </row>
    <row r="91" customFormat="false" ht="15.75" hidden="false" customHeight="true" outlineLevel="0" collapsed="false">
      <c r="D91" s="20"/>
      <c r="Q91" s="21"/>
      <c r="R91" s="21"/>
      <c r="S91" s="21"/>
      <c r="T91" s="21"/>
    </row>
    <row r="92" customFormat="false" ht="15.75" hidden="false" customHeight="true" outlineLevel="0" collapsed="false">
      <c r="D92" s="20"/>
      <c r="Q92" s="21"/>
      <c r="R92" s="21"/>
      <c r="S92" s="21"/>
      <c r="T92" s="21"/>
    </row>
    <row r="93" customFormat="false" ht="15.75" hidden="false" customHeight="true" outlineLevel="0" collapsed="false">
      <c r="D93" s="20"/>
      <c r="Q93" s="21"/>
      <c r="R93" s="21"/>
      <c r="S93" s="21"/>
      <c r="T93" s="21"/>
    </row>
    <row r="94" customFormat="false" ht="15.75" hidden="false" customHeight="true" outlineLevel="0" collapsed="false">
      <c r="D94" s="20"/>
      <c r="Q94" s="21"/>
      <c r="R94" s="21"/>
      <c r="S94" s="21"/>
      <c r="T94" s="21"/>
    </row>
    <row r="95" customFormat="false" ht="15.75" hidden="false" customHeight="true" outlineLevel="0" collapsed="false">
      <c r="D95" s="20"/>
      <c r="Q95" s="21"/>
      <c r="R95" s="21"/>
      <c r="S95" s="21"/>
      <c r="T95" s="21"/>
    </row>
    <row r="96" customFormat="false" ht="15.75" hidden="false" customHeight="true" outlineLevel="0" collapsed="false">
      <c r="D96" s="20"/>
      <c r="Q96" s="21"/>
      <c r="R96" s="21"/>
      <c r="S96" s="21"/>
      <c r="T96" s="21"/>
    </row>
    <row r="97" customFormat="false" ht="15.75" hidden="false" customHeight="true" outlineLevel="0" collapsed="false">
      <c r="D97" s="20"/>
      <c r="Q97" s="21"/>
      <c r="R97" s="21"/>
      <c r="S97" s="21"/>
      <c r="T97" s="21"/>
    </row>
    <row r="98" customFormat="false" ht="15.75" hidden="false" customHeight="true" outlineLevel="0" collapsed="false">
      <c r="D98" s="20"/>
      <c r="Q98" s="21"/>
      <c r="R98" s="21"/>
      <c r="S98" s="21"/>
      <c r="T98" s="21"/>
    </row>
    <row r="99" customFormat="false" ht="15.75" hidden="false" customHeight="true" outlineLevel="0" collapsed="false">
      <c r="D99" s="20"/>
      <c r="Q99" s="21"/>
      <c r="R99" s="21"/>
      <c r="S99" s="21"/>
      <c r="T99" s="21"/>
    </row>
    <row r="100" customFormat="false" ht="15.75" hidden="false" customHeight="true" outlineLevel="0" collapsed="false">
      <c r="D100" s="20"/>
      <c r="Q100" s="21"/>
      <c r="R100" s="21"/>
      <c r="S100" s="21"/>
      <c r="T100" s="21"/>
    </row>
    <row r="101" customFormat="false" ht="15.75" hidden="false" customHeight="true" outlineLevel="0" collapsed="false">
      <c r="D101" s="20"/>
      <c r="Q101" s="21"/>
      <c r="R101" s="21"/>
      <c r="S101" s="21"/>
      <c r="T101" s="21"/>
    </row>
    <row r="102" customFormat="false" ht="15.75" hidden="false" customHeight="true" outlineLevel="0" collapsed="false">
      <c r="D102" s="20"/>
      <c r="Q102" s="21"/>
      <c r="R102" s="21"/>
      <c r="S102" s="21"/>
      <c r="T102" s="21"/>
    </row>
    <row r="103" customFormat="false" ht="15.75" hidden="false" customHeight="true" outlineLevel="0" collapsed="false">
      <c r="D103" s="20"/>
      <c r="Q103" s="21"/>
      <c r="R103" s="21"/>
      <c r="S103" s="21"/>
      <c r="T103" s="21"/>
    </row>
    <row r="104" customFormat="false" ht="15.75" hidden="false" customHeight="true" outlineLevel="0" collapsed="false">
      <c r="D104" s="20"/>
      <c r="Q104" s="21"/>
      <c r="R104" s="21"/>
      <c r="S104" s="21"/>
      <c r="T104" s="21"/>
    </row>
    <row r="105" customFormat="false" ht="15.75" hidden="false" customHeight="true" outlineLevel="0" collapsed="false">
      <c r="D105" s="20"/>
      <c r="Q105" s="21"/>
      <c r="R105" s="21"/>
      <c r="S105" s="21"/>
      <c r="T105" s="21"/>
    </row>
    <row r="106" customFormat="false" ht="15.75" hidden="false" customHeight="true" outlineLevel="0" collapsed="false">
      <c r="D106" s="20"/>
      <c r="Q106" s="21"/>
      <c r="R106" s="21"/>
      <c r="S106" s="21"/>
      <c r="T106" s="21"/>
    </row>
    <row r="107" customFormat="false" ht="15.75" hidden="false" customHeight="true" outlineLevel="0" collapsed="false">
      <c r="D107" s="20"/>
      <c r="Q107" s="21"/>
      <c r="R107" s="21"/>
      <c r="S107" s="21"/>
      <c r="T107" s="21"/>
    </row>
    <row r="108" customFormat="false" ht="15.75" hidden="false" customHeight="true" outlineLevel="0" collapsed="false">
      <c r="D108" s="20"/>
      <c r="Q108" s="21"/>
      <c r="R108" s="21"/>
      <c r="S108" s="21"/>
      <c r="T108" s="21"/>
    </row>
    <row r="109" customFormat="false" ht="15.75" hidden="false" customHeight="true" outlineLevel="0" collapsed="false">
      <c r="D109" s="20"/>
      <c r="Q109" s="21"/>
      <c r="R109" s="21"/>
      <c r="S109" s="21"/>
      <c r="T109" s="21"/>
    </row>
    <row r="110" customFormat="false" ht="15.75" hidden="false" customHeight="true" outlineLevel="0" collapsed="false">
      <c r="D110" s="20"/>
      <c r="Q110" s="21"/>
      <c r="R110" s="21"/>
      <c r="S110" s="21"/>
      <c r="T110" s="21"/>
    </row>
    <row r="111" customFormat="false" ht="15.75" hidden="false" customHeight="true" outlineLevel="0" collapsed="false">
      <c r="D111" s="20"/>
      <c r="Q111" s="21"/>
      <c r="R111" s="21"/>
      <c r="S111" s="21"/>
      <c r="T111" s="21"/>
    </row>
    <row r="112" customFormat="false" ht="15.75" hidden="false" customHeight="true" outlineLevel="0" collapsed="false">
      <c r="D112" s="20"/>
      <c r="Q112" s="21"/>
      <c r="R112" s="21"/>
      <c r="S112" s="21"/>
      <c r="T112" s="21"/>
    </row>
    <row r="113" customFormat="false" ht="15.75" hidden="false" customHeight="true" outlineLevel="0" collapsed="false">
      <c r="D113" s="20"/>
      <c r="Q113" s="21"/>
      <c r="R113" s="21"/>
      <c r="S113" s="21"/>
      <c r="T113" s="21"/>
    </row>
    <row r="114" customFormat="false" ht="15.75" hidden="false" customHeight="true" outlineLevel="0" collapsed="false">
      <c r="D114" s="20"/>
      <c r="Q114" s="21"/>
      <c r="R114" s="21"/>
      <c r="S114" s="21"/>
      <c r="T114" s="21"/>
    </row>
    <row r="115" customFormat="false" ht="15.75" hidden="false" customHeight="true" outlineLevel="0" collapsed="false">
      <c r="D115" s="20"/>
      <c r="Q115" s="21"/>
      <c r="R115" s="21"/>
      <c r="S115" s="21"/>
      <c r="T115" s="21"/>
    </row>
    <row r="116" customFormat="false" ht="15.75" hidden="false" customHeight="true" outlineLevel="0" collapsed="false">
      <c r="D116" s="20"/>
      <c r="Q116" s="21"/>
      <c r="R116" s="21"/>
      <c r="S116" s="21"/>
      <c r="T116" s="21"/>
    </row>
    <row r="117" customFormat="false" ht="15.75" hidden="false" customHeight="true" outlineLevel="0" collapsed="false">
      <c r="D117" s="20"/>
      <c r="Q117" s="21"/>
      <c r="R117" s="21"/>
      <c r="S117" s="21"/>
      <c r="T117" s="21"/>
    </row>
    <row r="118" customFormat="false" ht="15.75" hidden="false" customHeight="true" outlineLevel="0" collapsed="false">
      <c r="D118" s="20"/>
      <c r="Q118" s="21"/>
      <c r="R118" s="21"/>
      <c r="S118" s="21"/>
      <c r="T118" s="21"/>
    </row>
    <row r="119" customFormat="false" ht="15.75" hidden="false" customHeight="true" outlineLevel="0" collapsed="false">
      <c r="D119" s="20"/>
      <c r="Q119" s="21"/>
      <c r="R119" s="21"/>
      <c r="S119" s="21"/>
      <c r="T119" s="21"/>
    </row>
    <row r="120" customFormat="false" ht="15.75" hidden="false" customHeight="true" outlineLevel="0" collapsed="false">
      <c r="D120" s="20"/>
      <c r="Q120" s="21"/>
      <c r="R120" s="21"/>
      <c r="S120" s="21"/>
      <c r="T120" s="21"/>
    </row>
    <row r="121" customFormat="false" ht="15.75" hidden="false" customHeight="true" outlineLevel="0" collapsed="false">
      <c r="D121" s="20"/>
      <c r="Q121" s="21"/>
      <c r="R121" s="21"/>
      <c r="S121" s="21"/>
      <c r="T121" s="21"/>
    </row>
    <row r="122" customFormat="false" ht="15.75" hidden="false" customHeight="true" outlineLevel="0" collapsed="false">
      <c r="D122" s="20"/>
      <c r="Q122" s="21"/>
      <c r="R122" s="21"/>
      <c r="S122" s="21"/>
      <c r="T122" s="21"/>
    </row>
    <row r="123" customFormat="false" ht="15.75" hidden="false" customHeight="true" outlineLevel="0" collapsed="false">
      <c r="D123" s="20"/>
      <c r="Q123" s="21"/>
      <c r="R123" s="21"/>
      <c r="S123" s="21"/>
      <c r="T123" s="21"/>
    </row>
    <row r="124" customFormat="false" ht="15.75" hidden="false" customHeight="true" outlineLevel="0" collapsed="false">
      <c r="D124" s="20"/>
      <c r="Q124" s="21"/>
      <c r="R124" s="21"/>
      <c r="S124" s="21"/>
      <c r="T124" s="21"/>
    </row>
    <row r="125" customFormat="false" ht="15.75" hidden="false" customHeight="true" outlineLevel="0" collapsed="false">
      <c r="D125" s="20"/>
      <c r="Q125" s="21"/>
      <c r="R125" s="21"/>
      <c r="S125" s="21"/>
      <c r="T125" s="21"/>
    </row>
    <row r="126" customFormat="false" ht="15.75" hidden="false" customHeight="true" outlineLevel="0" collapsed="false">
      <c r="D126" s="20"/>
      <c r="Q126" s="21"/>
      <c r="R126" s="21"/>
      <c r="S126" s="21"/>
      <c r="T126" s="21"/>
    </row>
    <row r="127" customFormat="false" ht="15.75" hidden="false" customHeight="true" outlineLevel="0" collapsed="false">
      <c r="D127" s="20"/>
      <c r="Q127" s="21"/>
      <c r="R127" s="21"/>
      <c r="S127" s="21"/>
      <c r="T127" s="21"/>
    </row>
    <row r="128" customFormat="false" ht="15.75" hidden="false" customHeight="true" outlineLevel="0" collapsed="false">
      <c r="D128" s="20"/>
      <c r="Q128" s="21"/>
      <c r="R128" s="21"/>
      <c r="S128" s="21"/>
      <c r="T128" s="21"/>
    </row>
    <row r="129" customFormat="false" ht="15.75" hidden="false" customHeight="true" outlineLevel="0" collapsed="false">
      <c r="D129" s="20"/>
      <c r="Q129" s="21"/>
      <c r="R129" s="21"/>
      <c r="S129" s="21"/>
      <c r="T129" s="21"/>
    </row>
    <row r="130" customFormat="false" ht="15.75" hidden="false" customHeight="true" outlineLevel="0" collapsed="false">
      <c r="D130" s="20"/>
      <c r="Q130" s="21"/>
      <c r="R130" s="21"/>
      <c r="S130" s="21"/>
      <c r="T130" s="21"/>
    </row>
    <row r="131" customFormat="false" ht="15.75" hidden="false" customHeight="true" outlineLevel="0" collapsed="false">
      <c r="D131" s="20"/>
      <c r="Q131" s="21"/>
      <c r="R131" s="21"/>
      <c r="S131" s="21"/>
      <c r="T131" s="21"/>
    </row>
    <row r="132" customFormat="false" ht="15.75" hidden="false" customHeight="true" outlineLevel="0" collapsed="false">
      <c r="D132" s="20"/>
      <c r="Q132" s="21"/>
      <c r="R132" s="21"/>
      <c r="S132" s="21"/>
      <c r="T132" s="21"/>
    </row>
    <row r="133" customFormat="false" ht="15.75" hidden="false" customHeight="true" outlineLevel="0" collapsed="false">
      <c r="D133" s="20"/>
      <c r="Q133" s="21"/>
      <c r="R133" s="21"/>
      <c r="S133" s="21"/>
      <c r="T133" s="21"/>
    </row>
    <row r="134" customFormat="false" ht="15.75" hidden="false" customHeight="true" outlineLevel="0" collapsed="false">
      <c r="D134" s="20"/>
      <c r="Q134" s="21"/>
      <c r="R134" s="21"/>
      <c r="S134" s="21"/>
      <c r="T134" s="21"/>
    </row>
    <row r="135" customFormat="false" ht="15.75" hidden="false" customHeight="true" outlineLevel="0" collapsed="false">
      <c r="D135" s="20"/>
      <c r="Q135" s="21"/>
      <c r="R135" s="21"/>
      <c r="S135" s="21"/>
      <c r="T135" s="21"/>
    </row>
    <row r="136" customFormat="false" ht="15.75" hidden="false" customHeight="true" outlineLevel="0" collapsed="false">
      <c r="D136" s="20"/>
      <c r="Q136" s="21"/>
      <c r="R136" s="21"/>
      <c r="S136" s="21"/>
      <c r="T136" s="21"/>
    </row>
    <row r="137" customFormat="false" ht="15.75" hidden="false" customHeight="true" outlineLevel="0" collapsed="false">
      <c r="D137" s="20"/>
      <c r="Q137" s="21"/>
      <c r="R137" s="21"/>
      <c r="S137" s="21"/>
      <c r="T137" s="21"/>
    </row>
    <row r="138" customFormat="false" ht="15.75" hidden="false" customHeight="true" outlineLevel="0" collapsed="false">
      <c r="D138" s="20"/>
      <c r="Q138" s="21"/>
      <c r="R138" s="21"/>
      <c r="S138" s="21"/>
      <c r="T138" s="21"/>
    </row>
    <row r="139" customFormat="false" ht="15.75" hidden="false" customHeight="true" outlineLevel="0" collapsed="false">
      <c r="D139" s="20"/>
      <c r="Q139" s="21"/>
      <c r="R139" s="21"/>
      <c r="S139" s="21"/>
      <c r="T139" s="21"/>
    </row>
    <row r="140" customFormat="false" ht="15.75" hidden="false" customHeight="true" outlineLevel="0" collapsed="false">
      <c r="D140" s="20"/>
      <c r="Q140" s="21"/>
      <c r="R140" s="21"/>
      <c r="S140" s="21"/>
      <c r="T140" s="21"/>
    </row>
    <row r="141" customFormat="false" ht="15.75" hidden="false" customHeight="true" outlineLevel="0" collapsed="false">
      <c r="D141" s="20"/>
      <c r="Q141" s="21"/>
      <c r="R141" s="21"/>
      <c r="S141" s="21"/>
      <c r="T141" s="21"/>
    </row>
    <row r="142" customFormat="false" ht="15.75" hidden="false" customHeight="true" outlineLevel="0" collapsed="false">
      <c r="D142" s="20"/>
      <c r="Q142" s="21"/>
      <c r="R142" s="21"/>
      <c r="S142" s="21"/>
      <c r="T142" s="21"/>
    </row>
    <row r="143" customFormat="false" ht="15.75" hidden="false" customHeight="true" outlineLevel="0" collapsed="false">
      <c r="D143" s="20"/>
      <c r="Q143" s="21"/>
      <c r="R143" s="21"/>
      <c r="S143" s="21"/>
      <c r="T143" s="21"/>
    </row>
    <row r="144" customFormat="false" ht="15.75" hidden="false" customHeight="true" outlineLevel="0" collapsed="false">
      <c r="D144" s="20"/>
      <c r="Q144" s="21"/>
      <c r="R144" s="21"/>
      <c r="S144" s="21"/>
      <c r="T144" s="21"/>
    </row>
    <row r="145" customFormat="false" ht="15.75" hidden="false" customHeight="true" outlineLevel="0" collapsed="false">
      <c r="D145" s="20"/>
      <c r="Q145" s="21"/>
      <c r="R145" s="21"/>
      <c r="S145" s="21"/>
      <c r="T145" s="21"/>
    </row>
    <row r="146" customFormat="false" ht="15.75" hidden="false" customHeight="true" outlineLevel="0" collapsed="false">
      <c r="D146" s="20"/>
      <c r="Q146" s="21"/>
      <c r="R146" s="21"/>
      <c r="S146" s="21"/>
      <c r="T146" s="21"/>
    </row>
    <row r="147" customFormat="false" ht="15.75" hidden="false" customHeight="true" outlineLevel="0" collapsed="false">
      <c r="D147" s="20"/>
      <c r="Q147" s="21"/>
      <c r="R147" s="21"/>
      <c r="S147" s="21"/>
      <c r="T147" s="21"/>
    </row>
    <row r="148" customFormat="false" ht="15.75" hidden="false" customHeight="true" outlineLevel="0" collapsed="false">
      <c r="D148" s="20"/>
      <c r="Q148" s="21"/>
      <c r="R148" s="21"/>
      <c r="S148" s="21"/>
      <c r="T148" s="21"/>
    </row>
    <row r="149" customFormat="false" ht="15.75" hidden="false" customHeight="true" outlineLevel="0" collapsed="false">
      <c r="D149" s="20"/>
      <c r="Q149" s="21"/>
      <c r="R149" s="21"/>
      <c r="S149" s="21"/>
      <c r="T149" s="21"/>
    </row>
    <row r="150" customFormat="false" ht="15.75" hidden="false" customHeight="true" outlineLevel="0" collapsed="false">
      <c r="D150" s="20"/>
      <c r="Q150" s="21"/>
      <c r="R150" s="21"/>
      <c r="S150" s="21"/>
      <c r="T150" s="21"/>
    </row>
    <row r="151" customFormat="false" ht="15.75" hidden="false" customHeight="true" outlineLevel="0" collapsed="false">
      <c r="D151" s="20"/>
      <c r="Q151" s="21"/>
      <c r="R151" s="21"/>
      <c r="S151" s="21"/>
      <c r="T151" s="21"/>
    </row>
    <row r="152" customFormat="false" ht="15.75" hidden="false" customHeight="true" outlineLevel="0" collapsed="false">
      <c r="D152" s="20"/>
      <c r="Q152" s="21"/>
      <c r="R152" s="21"/>
      <c r="S152" s="21"/>
      <c r="T152" s="21"/>
    </row>
    <row r="153" customFormat="false" ht="15.75" hidden="false" customHeight="true" outlineLevel="0" collapsed="false">
      <c r="D153" s="20"/>
      <c r="Q153" s="21"/>
      <c r="R153" s="21"/>
      <c r="S153" s="21"/>
      <c r="T153" s="21"/>
    </row>
    <row r="154" customFormat="false" ht="15.75" hidden="false" customHeight="true" outlineLevel="0" collapsed="false">
      <c r="D154" s="20"/>
      <c r="Q154" s="21"/>
      <c r="R154" s="21"/>
      <c r="S154" s="21"/>
      <c r="T154" s="21"/>
    </row>
    <row r="155" customFormat="false" ht="15.75" hidden="false" customHeight="true" outlineLevel="0" collapsed="false">
      <c r="D155" s="20"/>
      <c r="Q155" s="21"/>
      <c r="R155" s="21"/>
      <c r="S155" s="21"/>
      <c r="T155" s="21"/>
    </row>
    <row r="156" customFormat="false" ht="15.75" hidden="false" customHeight="true" outlineLevel="0" collapsed="false">
      <c r="D156" s="20"/>
      <c r="Q156" s="21"/>
      <c r="R156" s="21"/>
      <c r="S156" s="21"/>
      <c r="T156" s="21"/>
    </row>
    <row r="157" customFormat="false" ht="15.75" hidden="false" customHeight="true" outlineLevel="0" collapsed="false">
      <c r="D157" s="20"/>
      <c r="Q157" s="21"/>
      <c r="R157" s="21"/>
      <c r="S157" s="21"/>
      <c r="T157" s="21"/>
    </row>
    <row r="158" customFormat="false" ht="15.75" hidden="false" customHeight="true" outlineLevel="0" collapsed="false">
      <c r="D158" s="20"/>
      <c r="Q158" s="21"/>
      <c r="R158" s="21"/>
      <c r="S158" s="21"/>
      <c r="T158" s="21"/>
    </row>
    <row r="159" customFormat="false" ht="15.75" hidden="false" customHeight="true" outlineLevel="0" collapsed="false">
      <c r="D159" s="20"/>
      <c r="Q159" s="21"/>
      <c r="R159" s="21"/>
      <c r="S159" s="21"/>
      <c r="T159" s="21"/>
    </row>
    <row r="160" customFormat="false" ht="15.75" hidden="false" customHeight="true" outlineLevel="0" collapsed="false">
      <c r="D160" s="20"/>
      <c r="Q160" s="21"/>
      <c r="R160" s="21"/>
      <c r="S160" s="21"/>
      <c r="T160" s="21"/>
    </row>
    <row r="161" customFormat="false" ht="15.75" hidden="false" customHeight="true" outlineLevel="0" collapsed="false">
      <c r="D161" s="20"/>
      <c r="Q161" s="21"/>
      <c r="R161" s="21"/>
      <c r="S161" s="21"/>
      <c r="T161" s="21"/>
    </row>
    <row r="162" customFormat="false" ht="15.75" hidden="false" customHeight="true" outlineLevel="0" collapsed="false">
      <c r="D162" s="20"/>
      <c r="Q162" s="21"/>
      <c r="R162" s="21"/>
      <c r="S162" s="21"/>
      <c r="T162" s="21"/>
    </row>
    <row r="163" customFormat="false" ht="15.75" hidden="false" customHeight="true" outlineLevel="0" collapsed="false">
      <c r="D163" s="20"/>
      <c r="Q163" s="21"/>
      <c r="R163" s="21"/>
      <c r="S163" s="21"/>
      <c r="T163" s="21"/>
    </row>
    <row r="164" customFormat="false" ht="15.75" hidden="false" customHeight="true" outlineLevel="0" collapsed="false">
      <c r="D164" s="20"/>
      <c r="Q164" s="21"/>
      <c r="R164" s="21"/>
      <c r="S164" s="21"/>
      <c r="T164" s="21"/>
    </row>
    <row r="165" customFormat="false" ht="15.75" hidden="false" customHeight="true" outlineLevel="0" collapsed="false">
      <c r="D165" s="20"/>
      <c r="Q165" s="21"/>
      <c r="R165" s="21"/>
      <c r="S165" s="21"/>
      <c r="T165" s="21"/>
    </row>
    <row r="166" customFormat="false" ht="15.75" hidden="false" customHeight="true" outlineLevel="0" collapsed="false">
      <c r="D166" s="20"/>
      <c r="Q166" s="21"/>
      <c r="R166" s="21"/>
      <c r="S166" s="21"/>
      <c r="T166" s="21"/>
    </row>
    <row r="167" customFormat="false" ht="15.75" hidden="false" customHeight="true" outlineLevel="0" collapsed="false">
      <c r="D167" s="20"/>
      <c r="Q167" s="21"/>
      <c r="R167" s="21"/>
      <c r="S167" s="21"/>
      <c r="T167" s="21"/>
    </row>
    <row r="168" customFormat="false" ht="15.75" hidden="false" customHeight="true" outlineLevel="0" collapsed="false">
      <c r="D168" s="20"/>
      <c r="Q168" s="21"/>
      <c r="R168" s="21"/>
      <c r="S168" s="21"/>
      <c r="T168" s="21"/>
    </row>
    <row r="169" customFormat="false" ht="15.75" hidden="false" customHeight="true" outlineLevel="0" collapsed="false">
      <c r="D169" s="20"/>
      <c r="Q169" s="21"/>
      <c r="R169" s="21"/>
      <c r="S169" s="21"/>
      <c r="T169" s="21"/>
    </row>
    <row r="170" customFormat="false" ht="15.75" hidden="false" customHeight="true" outlineLevel="0" collapsed="false">
      <c r="D170" s="20"/>
      <c r="Q170" s="21"/>
      <c r="R170" s="21"/>
      <c r="S170" s="21"/>
      <c r="T170" s="21"/>
    </row>
    <row r="171" customFormat="false" ht="15.75" hidden="false" customHeight="true" outlineLevel="0" collapsed="false">
      <c r="D171" s="20"/>
      <c r="Q171" s="21"/>
      <c r="R171" s="21"/>
      <c r="S171" s="21"/>
      <c r="T171" s="21"/>
    </row>
    <row r="172" customFormat="false" ht="15.75" hidden="false" customHeight="true" outlineLevel="0" collapsed="false">
      <c r="D172" s="20"/>
      <c r="Q172" s="21"/>
      <c r="R172" s="21"/>
      <c r="S172" s="21"/>
      <c r="T172" s="21"/>
    </row>
    <row r="173" customFormat="false" ht="15.75" hidden="false" customHeight="true" outlineLevel="0" collapsed="false">
      <c r="D173" s="20"/>
      <c r="Q173" s="21"/>
      <c r="R173" s="21"/>
      <c r="S173" s="21"/>
      <c r="T173" s="21"/>
    </row>
    <row r="174" customFormat="false" ht="15.75" hidden="false" customHeight="true" outlineLevel="0" collapsed="false">
      <c r="D174" s="20"/>
      <c r="Q174" s="21"/>
      <c r="R174" s="21"/>
      <c r="S174" s="21"/>
      <c r="T174" s="21"/>
    </row>
    <row r="175" customFormat="false" ht="15.75" hidden="false" customHeight="true" outlineLevel="0" collapsed="false">
      <c r="D175" s="20"/>
      <c r="Q175" s="21"/>
      <c r="R175" s="21"/>
      <c r="S175" s="21"/>
      <c r="T175" s="21"/>
    </row>
    <row r="176" customFormat="false" ht="15.75" hidden="false" customHeight="true" outlineLevel="0" collapsed="false">
      <c r="D176" s="20"/>
      <c r="Q176" s="21"/>
      <c r="R176" s="21"/>
      <c r="S176" s="21"/>
      <c r="T176" s="21"/>
    </row>
    <row r="177" customFormat="false" ht="15.75" hidden="false" customHeight="true" outlineLevel="0" collapsed="false">
      <c r="D177" s="20"/>
      <c r="Q177" s="21"/>
      <c r="R177" s="21"/>
      <c r="S177" s="21"/>
      <c r="T177" s="21"/>
    </row>
    <row r="178" customFormat="false" ht="15.75" hidden="false" customHeight="true" outlineLevel="0" collapsed="false">
      <c r="D178" s="20"/>
      <c r="Q178" s="21"/>
      <c r="R178" s="21"/>
      <c r="S178" s="21"/>
      <c r="T178" s="21"/>
    </row>
    <row r="179" customFormat="false" ht="15.75" hidden="false" customHeight="true" outlineLevel="0" collapsed="false">
      <c r="D179" s="20"/>
      <c r="Q179" s="21"/>
      <c r="R179" s="21"/>
      <c r="S179" s="21"/>
      <c r="T179" s="21"/>
    </row>
    <row r="180" customFormat="false" ht="15.75" hidden="false" customHeight="true" outlineLevel="0" collapsed="false">
      <c r="D180" s="20"/>
      <c r="Q180" s="21"/>
      <c r="R180" s="21"/>
      <c r="S180" s="21"/>
      <c r="T180" s="21"/>
    </row>
    <row r="181" customFormat="false" ht="15.75" hidden="false" customHeight="true" outlineLevel="0" collapsed="false">
      <c r="D181" s="20"/>
      <c r="Q181" s="21"/>
      <c r="R181" s="21"/>
      <c r="S181" s="21"/>
      <c r="T181" s="21"/>
    </row>
    <row r="182" customFormat="false" ht="15.75" hidden="false" customHeight="true" outlineLevel="0" collapsed="false">
      <c r="D182" s="20"/>
      <c r="Q182" s="21"/>
      <c r="R182" s="21"/>
      <c r="S182" s="21"/>
      <c r="T182" s="21"/>
    </row>
    <row r="183" customFormat="false" ht="15.75" hidden="false" customHeight="true" outlineLevel="0" collapsed="false">
      <c r="D183" s="20"/>
      <c r="Q183" s="21"/>
      <c r="R183" s="21"/>
      <c r="S183" s="21"/>
      <c r="T183" s="21"/>
    </row>
    <row r="184" customFormat="false" ht="15.75" hidden="false" customHeight="true" outlineLevel="0" collapsed="false">
      <c r="D184" s="20"/>
      <c r="Q184" s="21"/>
      <c r="R184" s="21"/>
      <c r="S184" s="21"/>
      <c r="T184" s="21"/>
    </row>
    <row r="185" customFormat="false" ht="15.75" hidden="false" customHeight="true" outlineLevel="0" collapsed="false">
      <c r="D185" s="20"/>
      <c r="Q185" s="21"/>
      <c r="R185" s="21"/>
      <c r="S185" s="21"/>
      <c r="T185" s="21"/>
    </row>
    <row r="186" customFormat="false" ht="15.75" hidden="false" customHeight="true" outlineLevel="0" collapsed="false">
      <c r="D186" s="20"/>
      <c r="Q186" s="21"/>
      <c r="R186" s="21"/>
      <c r="S186" s="21"/>
      <c r="T186" s="21"/>
    </row>
    <row r="187" customFormat="false" ht="15.75" hidden="false" customHeight="true" outlineLevel="0" collapsed="false">
      <c r="D187" s="20"/>
      <c r="Q187" s="21"/>
      <c r="R187" s="21"/>
      <c r="S187" s="21"/>
      <c r="T187" s="21"/>
    </row>
    <row r="188" customFormat="false" ht="15.75" hidden="false" customHeight="true" outlineLevel="0" collapsed="false">
      <c r="D188" s="20"/>
      <c r="Q188" s="21"/>
      <c r="R188" s="21"/>
      <c r="S188" s="21"/>
      <c r="T188" s="21"/>
    </row>
    <row r="189" customFormat="false" ht="15.75" hidden="false" customHeight="true" outlineLevel="0" collapsed="false">
      <c r="D189" s="20"/>
      <c r="Q189" s="21"/>
      <c r="R189" s="21"/>
      <c r="S189" s="21"/>
      <c r="T189" s="21"/>
    </row>
    <row r="190" customFormat="false" ht="15.75" hidden="false" customHeight="true" outlineLevel="0" collapsed="false">
      <c r="D190" s="20"/>
      <c r="Q190" s="21"/>
      <c r="R190" s="21"/>
      <c r="S190" s="21"/>
      <c r="T190" s="21"/>
    </row>
    <row r="191" customFormat="false" ht="15.75" hidden="false" customHeight="true" outlineLevel="0" collapsed="false">
      <c r="D191" s="20"/>
      <c r="Q191" s="21"/>
      <c r="R191" s="21"/>
      <c r="S191" s="21"/>
      <c r="T191" s="21"/>
    </row>
    <row r="192" customFormat="false" ht="15.75" hidden="false" customHeight="true" outlineLevel="0" collapsed="false">
      <c r="D192" s="20"/>
      <c r="Q192" s="21"/>
      <c r="R192" s="21"/>
      <c r="S192" s="21"/>
      <c r="T192" s="21"/>
    </row>
    <row r="193" customFormat="false" ht="15.75" hidden="false" customHeight="true" outlineLevel="0" collapsed="false">
      <c r="D193" s="20"/>
      <c r="Q193" s="21"/>
      <c r="R193" s="21"/>
      <c r="S193" s="21"/>
      <c r="T193" s="21"/>
    </row>
    <row r="194" customFormat="false" ht="15.75" hidden="false" customHeight="true" outlineLevel="0" collapsed="false">
      <c r="D194" s="20"/>
      <c r="Q194" s="21"/>
      <c r="R194" s="21"/>
      <c r="S194" s="21"/>
      <c r="T194" s="21"/>
    </row>
    <row r="195" customFormat="false" ht="15.75" hidden="false" customHeight="true" outlineLevel="0" collapsed="false">
      <c r="D195" s="20"/>
      <c r="Q195" s="21"/>
      <c r="R195" s="21"/>
      <c r="S195" s="21"/>
      <c r="T195" s="21"/>
    </row>
    <row r="196" customFormat="false" ht="15.75" hidden="false" customHeight="true" outlineLevel="0" collapsed="false">
      <c r="D196" s="20"/>
      <c r="Q196" s="21"/>
      <c r="R196" s="21"/>
      <c r="S196" s="21"/>
      <c r="T196" s="21"/>
    </row>
    <row r="197" customFormat="false" ht="15.75" hidden="false" customHeight="true" outlineLevel="0" collapsed="false">
      <c r="D197" s="20"/>
      <c r="Q197" s="21"/>
      <c r="R197" s="21"/>
      <c r="S197" s="21"/>
      <c r="T197" s="21"/>
    </row>
    <row r="198" customFormat="false" ht="15.75" hidden="false" customHeight="true" outlineLevel="0" collapsed="false">
      <c r="D198" s="20"/>
      <c r="Q198" s="21"/>
      <c r="R198" s="21"/>
      <c r="S198" s="21"/>
      <c r="T198" s="21"/>
    </row>
    <row r="199" customFormat="false" ht="15.75" hidden="false" customHeight="true" outlineLevel="0" collapsed="false">
      <c r="D199" s="20"/>
      <c r="Q199" s="21"/>
      <c r="R199" s="21"/>
      <c r="S199" s="21"/>
      <c r="T199" s="21"/>
    </row>
    <row r="200" customFormat="false" ht="15.75" hidden="false" customHeight="true" outlineLevel="0" collapsed="false">
      <c r="D200" s="20"/>
      <c r="Q200" s="21"/>
      <c r="R200" s="21"/>
      <c r="S200" s="21"/>
      <c r="T200" s="21"/>
    </row>
    <row r="201" customFormat="false" ht="15.75" hidden="false" customHeight="true" outlineLevel="0" collapsed="false">
      <c r="D201" s="20"/>
      <c r="Q201" s="21"/>
      <c r="R201" s="21"/>
      <c r="S201" s="21"/>
      <c r="T201" s="21"/>
    </row>
    <row r="202" customFormat="false" ht="15.75" hidden="false" customHeight="true" outlineLevel="0" collapsed="false">
      <c r="D202" s="20"/>
      <c r="Q202" s="21"/>
      <c r="R202" s="21"/>
      <c r="S202" s="21"/>
      <c r="T202" s="21"/>
    </row>
    <row r="203" customFormat="false" ht="15.75" hidden="false" customHeight="true" outlineLevel="0" collapsed="false">
      <c r="D203" s="20"/>
      <c r="Q203" s="21"/>
      <c r="R203" s="21"/>
      <c r="S203" s="21"/>
      <c r="T203" s="21"/>
    </row>
    <row r="204" customFormat="false" ht="15.75" hidden="false" customHeight="true" outlineLevel="0" collapsed="false">
      <c r="D204" s="20"/>
      <c r="Q204" s="21"/>
      <c r="R204" s="21"/>
      <c r="S204" s="21"/>
      <c r="T204" s="21"/>
    </row>
    <row r="205" customFormat="false" ht="15.75" hidden="false" customHeight="true" outlineLevel="0" collapsed="false">
      <c r="D205" s="20"/>
      <c r="Q205" s="21"/>
      <c r="R205" s="21"/>
      <c r="S205" s="21"/>
      <c r="T205" s="21"/>
    </row>
    <row r="206" customFormat="false" ht="15.75" hidden="false" customHeight="true" outlineLevel="0" collapsed="false">
      <c r="D206" s="20"/>
      <c r="Q206" s="21"/>
      <c r="R206" s="21"/>
      <c r="S206" s="21"/>
      <c r="T206" s="21"/>
    </row>
    <row r="207" customFormat="false" ht="15.75" hidden="false" customHeight="true" outlineLevel="0" collapsed="false">
      <c r="D207" s="20"/>
      <c r="Q207" s="21"/>
      <c r="R207" s="21"/>
      <c r="S207" s="21"/>
      <c r="T207" s="21"/>
    </row>
    <row r="208" customFormat="false" ht="15.75" hidden="false" customHeight="true" outlineLevel="0" collapsed="false">
      <c r="D208" s="20"/>
      <c r="Q208" s="21"/>
      <c r="R208" s="21"/>
      <c r="S208" s="21"/>
      <c r="T208" s="21"/>
    </row>
    <row r="209" customFormat="false" ht="15.75" hidden="false" customHeight="true" outlineLevel="0" collapsed="false">
      <c r="D209" s="20"/>
      <c r="Q209" s="21"/>
      <c r="R209" s="21"/>
      <c r="S209" s="21"/>
      <c r="T209" s="21"/>
    </row>
    <row r="210" customFormat="false" ht="15.75" hidden="false" customHeight="true" outlineLevel="0" collapsed="false">
      <c r="D210" s="20"/>
      <c r="Q210" s="21"/>
      <c r="R210" s="21"/>
      <c r="S210" s="21"/>
      <c r="T210" s="21"/>
    </row>
    <row r="211" customFormat="false" ht="15.75" hidden="false" customHeight="true" outlineLevel="0" collapsed="false">
      <c r="D211" s="20"/>
      <c r="Q211" s="21"/>
      <c r="R211" s="21"/>
      <c r="S211" s="21"/>
      <c r="T211" s="21"/>
    </row>
    <row r="212" customFormat="false" ht="15.75" hidden="false" customHeight="true" outlineLevel="0" collapsed="false">
      <c r="D212" s="20"/>
      <c r="Q212" s="21"/>
      <c r="R212" s="21"/>
      <c r="S212" s="21"/>
      <c r="T212" s="21"/>
    </row>
    <row r="213" customFormat="false" ht="15.75" hidden="false" customHeight="true" outlineLevel="0" collapsed="false">
      <c r="D213" s="20"/>
      <c r="Q213" s="21"/>
      <c r="R213" s="21"/>
      <c r="S213" s="21"/>
      <c r="T213" s="21"/>
    </row>
    <row r="214" customFormat="false" ht="15.75" hidden="false" customHeight="true" outlineLevel="0" collapsed="false">
      <c r="D214" s="20"/>
      <c r="Q214" s="21"/>
      <c r="R214" s="21"/>
      <c r="S214" s="21"/>
      <c r="T214" s="21"/>
    </row>
    <row r="215" customFormat="false" ht="15.75" hidden="false" customHeight="true" outlineLevel="0" collapsed="false">
      <c r="D215" s="20"/>
      <c r="Q215" s="21"/>
      <c r="R215" s="21"/>
      <c r="S215" s="21"/>
      <c r="T215" s="21"/>
    </row>
    <row r="216" customFormat="false" ht="15.75" hidden="false" customHeight="true" outlineLevel="0" collapsed="false">
      <c r="D216" s="20"/>
      <c r="Q216" s="21"/>
      <c r="R216" s="21"/>
      <c r="S216" s="21"/>
      <c r="T216" s="21"/>
    </row>
    <row r="217" customFormat="false" ht="15.75" hidden="false" customHeight="true" outlineLevel="0" collapsed="false">
      <c r="D217" s="20"/>
      <c r="Q217" s="21"/>
      <c r="R217" s="21"/>
      <c r="S217" s="21"/>
      <c r="T217" s="21"/>
    </row>
    <row r="218" customFormat="false" ht="15.75" hidden="false" customHeight="true" outlineLevel="0" collapsed="false">
      <c r="D218" s="20"/>
      <c r="Q218" s="21"/>
      <c r="R218" s="21"/>
      <c r="S218" s="21"/>
      <c r="T218" s="21"/>
    </row>
    <row r="219" customFormat="false" ht="15.75" hidden="false" customHeight="true" outlineLevel="0" collapsed="false">
      <c r="D219" s="20"/>
      <c r="Q219" s="21"/>
      <c r="R219" s="21"/>
      <c r="S219" s="21"/>
      <c r="T219" s="21"/>
    </row>
    <row r="220" customFormat="false" ht="15.75" hidden="false" customHeight="true" outlineLevel="0" collapsed="false">
      <c r="D220" s="20"/>
      <c r="Q220" s="21"/>
      <c r="R220" s="21"/>
      <c r="S220" s="21"/>
      <c r="T220" s="21"/>
    </row>
    <row r="221" customFormat="false" ht="15.75" hidden="false" customHeight="true" outlineLevel="0" collapsed="false">
      <c r="D221" s="20"/>
      <c r="Q221" s="21"/>
      <c r="R221" s="21"/>
      <c r="S221" s="21"/>
      <c r="T221" s="21"/>
    </row>
    <row r="222" customFormat="false" ht="15.75" hidden="false" customHeight="true" outlineLevel="0" collapsed="false">
      <c r="D222" s="20"/>
      <c r="Q222" s="21"/>
      <c r="R222" s="21"/>
      <c r="S222" s="21"/>
      <c r="T222" s="21"/>
    </row>
    <row r="223" customFormat="false" ht="15.75" hidden="false" customHeight="true" outlineLevel="0" collapsed="false">
      <c r="D223" s="20"/>
      <c r="Q223" s="21"/>
      <c r="R223" s="21"/>
      <c r="S223" s="21"/>
      <c r="T223" s="21"/>
    </row>
    <row r="224" customFormat="false" ht="15.75" hidden="false" customHeight="true" outlineLevel="0" collapsed="false">
      <c r="D224" s="20"/>
      <c r="Q224" s="21"/>
      <c r="R224" s="21"/>
      <c r="S224" s="21"/>
      <c r="T224" s="21"/>
    </row>
    <row r="225" customFormat="false" ht="15.75" hidden="false" customHeight="true" outlineLevel="0" collapsed="false">
      <c r="D225" s="20"/>
      <c r="Q225" s="21"/>
      <c r="R225" s="21"/>
      <c r="S225" s="21"/>
      <c r="T225" s="21"/>
    </row>
    <row r="226" customFormat="false" ht="15.75" hidden="false" customHeight="true" outlineLevel="0" collapsed="false">
      <c r="D226" s="20"/>
      <c r="Q226" s="21"/>
      <c r="R226" s="21"/>
      <c r="S226" s="21"/>
      <c r="T226" s="21"/>
    </row>
    <row r="227" customFormat="false" ht="15.75" hidden="false" customHeight="true" outlineLevel="0" collapsed="false">
      <c r="D227" s="20"/>
      <c r="Q227" s="21"/>
      <c r="R227" s="21"/>
      <c r="S227" s="21"/>
      <c r="T227" s="21"/>
    </row>
    <row r="228" customFormat="false" ht="15.75" hidden="false" customHeight="true" outlineLevel="0" collapsed="false">
      <c r="D228" s="20"/>
      <c r="Q228" s="21"/>
      <c r="R228" s="21"/>
      <c r="S228" s="21"/>
      <c r="T228" s="21"/>
    </row>
    <row r="229" customFormat="false" ht="15.75" hidden="false" customHeight="true" outlineLevel="0" collapsed="false">
      <c r="D229" s="20"/>
      <c r="Q229" s="21"/>
      <c r="R229" s="21"/>
      <c r="S229" s="21"/>
      <c r="T229" s="21"/>
    </row>
    <row r="230" customFormat="false" ht="15.75" hidden="false" customHeight="true" outlineLevel="0" collapsed="false">
      <c r="D230" s="20"/>
      <c r="Q230" s="21"/>
      <c r="R230" s="21"/>
      <c r="S230" s="21"/>
      <c r="T230" s="21"/>
    </row>
    <row r="231" customFormat="false" ht="15.75" hidden="false" customHeight="true" outlineLevel="0" collapsed="false">
      <c r="D231" s="20"/>
      <c r="Q231" s="21"/>
      <c r="R231" s="21"/>
      <c r="S231" s="21"/>
      <c r="T231" s="21"/>
    </row>
    <row r="232" customFormat="false" ht="15.75" hidden="false" customHeight="true" outlineLevel="0" collapsed="false">
      <c r="D232" s="20"/>
      <c r="Q232" s="21"/>
      <c r="R232" s="21"/>
      <c r="S232" s="21"/>
      <c r="T232" s="21"/>
    </row>
    <row r="233" customFormat="false" ht="15.75" hidden="false" customHeight="true" outlineLevel="0" collapsed="false">
      <c r="D233" s="20"/>
      <c r="Q233" s="21"/>
      <c r="R233" s="21"/>
      <c r="S233" s="21"/>
      <c r="T233" s="21"/>
    </row>
    <row r="234" customFormat="false" ht="15.75" hidden="false" customHeight="true" outlineLevel="0" collapsed="false">
      <c r="D234" s="20"/>
      <c r="Q234" s="21"/>
      <c r="R234" s="21"/>
      <c r="S234" s="21"/>
      <c r="T234" s="21"/>
    </row>
    <row r="235" customFormat="false" ht="15.75" hidden="false" customHeight="true" outlineLevel="0" collapsed="false">
      <c r="D235" s="20"/>
      <c r="Q235" s="21"/>
      <c r="R235" s="21"/>
      <c r="S235" s="21"/>
      <c r="T235" s="21"/>
    </row>
    <row r="236" customFormat="false" ht="15.75" hidden="false" customHeight="true" outlineLevel="0" collapsed="false">
      <c r="D236" s="20"/>
      <c r="Q236" s="21"/>
      <c r="R236" s="21"/>
      <c r="S236" s="21"/>
      <c r="T236" s="21"/>
    </row>
    <row r="237" customFormat="false" ht="15.75" hidden="false" customHeight="true" outlineLevel="0" collapsed="false">
      <c r="D237" s="20"/>
      <c r="Q237" s="21"/>
      <c r="R237" s="21"/>
      <c r="S237" s="21"/>
      <c r="T237" s="21"/>
    </row>
    <row r="238" customFormat="false" ht="15.75" hidden="false" customHeight="true" outlineLevel="0" collapsed="false">
      <c r="D238" s="20"/>
      <c r="Q238" s="21"/>
      <c r="R238" s="21"/>
      <c r="S238" s="21"/>
      <c r="T238" s="21"/>
    </row>
    <row r="239" customFormat="false" ht="15.75" hidden="false" customHeight="true" outlineLevel="0" collapsed="false">
      <c r="D239" s="20"/>
      <c r="Q239" s="21"/>
      <c r="R239" s="21"/>
      <c r="S239" s="21"/>
      <c r="T239" s="21"/>
    </row>
    <row r="240" customFormat="false" ht="15.75" hidden="false" customHeight="true" outlineLevel="0" collapsed="false">
      <c r="D240" s="20"/>
      <c r="Q240" s="21"/>
      <c r="R240" s="21"/>
      <c r="S240" s="21"/>
      <c r="T240" s="21"/>
    </row>
    <row r="241" customFormat="false" ht="15.75" hidden="false" customHeight="true" outlineLevel="0" collapsed="false">
      <c r="D241" s="20"/>
      <c r="Q241" s="21"/>
      <c r="R241" s="21"/>
      <c r="S241" s="21"/>
      <c r="T241" s="21"/>
    </row>
    <row r="242" customFormat="false" ht="15.75" hidden="false" customHeight="true" outlineLevel="0" collapsed="false">
      <c r="D242" s="20"/>
      <c r="Q242" s="21"/>
      <c r="R242" s="21"/>
      <c r="S242" s="21"/>
      <c r="T242" s="21"/>
    </row>
    <row r="243" customFormat="false" ht="15.75" hidden="false" customHeight="true" outlineLevel="0" collapsed="false">
      <c r="D243" s="20"/>
      <c r="Q243" s="21"/>
      <c r="R243" s="21"/>
      <c r="S243" s="21"/>
      <c r="T243" s="21"/>
    </row>
    <row r="244" customFormat="false" ht="15.75" hidden="false" customHeight="true" outlineLevel="0" collapsed="false">
      <c r="D244" s="20"/>
      <c r="Q244" s="21"/>
      <c r="R244" s="21"/>
      <c r="S244" s="21"/>
      <c r="T244" s="21"/>
    </row>
    <row r="245" customFormat="false" ht="15.75" hidden="false" customHeight="true" outlineLevel="0" collapsed="false">
      <c r="D245" s="20"/>
      <c r="Q245" s="21"/>
      <c r="R245" s="21"/>
      <c r="S245" s="21"/>
      <c r="T245" s="21"/>
    </row>
    <row r="246" customFormat="false" ht="15.75" hidden="false" customHeight="true" outlineLevel="0" collapsed="false">
      <c r="D246" s="20"/>
      <c r="Q246" s="21"/>
      <c r="R246" s="21"/>
      <c r="S246" s="21"/>
      <c r="T246" s="21"/>
    </row>
    <row r="247" customFormat="false" ht="15.75" hidden="false" customHeight="true" outlineLevel="0" collapsed="false">
      <c r="D247" s="20"/>
      <c r="Q247" s="21"/>
      <c r="R247" s="21"/>
      <c r="S247" s="21"/>
      <c r="T247" s="21"/>
    </row>
    <row r="248" customFormat="false" ht="15.75" hidden="false" customHeight="true" outlineLevel="0" collapsed="false">
      <c r="D248" s="20"/>
      <c r="Q248" s="21"/>
      <c r="R248" s="21"/>
      <c r="S248" s="21"/>
      <c r="T248" s="21"/>
    </row>
    <row r="249" customFormat="false" ht="15.75" hidden="false" customHeight="true" outlineLevel="0" collapsed="false">
      <c r="D249" s="20"/>
      <c r="Q249" s="21"/>
      <c r="R249" s="21"/>
      <c r="S249" s="21"/>
      <c r="T249" s="21"/>
    </row>
    <row r="250" customFormat="false" ht="15.75" hidden="false" customHeight="true" outlineLevel="0" collapsed="false">
      <c r="D250" s="20"/>
      <c r="Q250" s="21"/>
      <c r="R250" s="21"/>
      <c r="S250" s="21"/>
      <c r="T250" s="21"/>
    </row>
    <row r="251" customFormat="false" ht="15.75" hidden="false" customHeight="true" outlineLevel="0" collapsed="false">
      <c r="D251" s="20"/>
      <c r="Q251" s="21"/>
      <c r="R251" s="21"/>
      <c r="S251" s="21"/>
      <c r="T251" s="21"/>
    </row>
    <row r="252" customFormat="false" ht="15.75" hidden="false" customHeight="true" outlineLevel="0" collapsed="false">
      <c r="D252" s="20"/>
      <c r="Q252" s="21"/>
      <c r="R252" s="21"/>
      <c r="S252" s="21"/>
      <c r="T252" s="21"/>
    </row>
    <row r="253" customFormat="false" ht="15.75" hidden="false" customHeight="true" outlineLevel="0" collapsed="false">
      <c r="D253" s="20"/>
      <c r="Q253" s="21"/>
      <c r="R253" s="21"/>
      <c r="S253" s="21"/>
      <c r="T253" s="21"/>
    </row>
    <row r="254" customFormat="false" ht="15.75" hidden="false" customHeight="true" outlineLevel="0" collapsed="false">
      <c r="D254" s="20"/>
      <c r="Q254" s="21"/>
      <c r="R254" s="21"/>
      <c r="S254" s="21"/>
      <c r="T254" s="21"/>
    </row>
    <row r="255" customFormat="false" ht="15.75" hidden="false" customHeight="true" outlineLevel="0" collapsed="false">
      <c r="D255" s="20"/>
      <c r="Q255" s="21"/>
      <c r="R255" s="21"/>
      <c r="S255" s="21"/>
      <c r="T255" s="21"/>
    </row>
    <row r="256" customFormat="false" ht="15.75" hidden="false" customHeight="true" outlineLevel="0" collapsed="false">
      <c r="D256" s="20"/>
      <c r="Q256" s="21"/>
      <c r="R256" s="21"/>
      <c r="S256" s="21"/>
      <c r="T256" s="21"/>
    </row>
    <row r="257" customFormat="false" ht="15.75" hidden="false" customHeight="true" outlineLevel="0" collapsed="false">
      <c r="D257" s="20"/>
      <c r="Q257" s="21"/>
      <c r="R257" s="21"/>
      <c r="S257" s="21"/>
      <c r="T257" s="21"/>
    </row>
    <row r="258" customFormat="false" ht="15.75" hidden="false" customHeight="true" outlineLevel="0" collapsed="false">
      <c r="D258" s="20"/>
      <c r="Q258" s="21"/>
      <c r="R258" s="21"/>
      <c r="S258" s="21"/>
      <c r="T258" s="21"/>
    </row>
    <row r="259" customFormat="false" ht="15.75" hidden="false" customHeight="true" outlineLevel="0" collapsed="false">
      <c r="D259" s="20"/>
      <c r="Q259" s="21"/>
      <c r="R259" s="21"/>
      <c r="S259" s="21"/>
      <c r="T259" s="21"/>
    </row>
    <row r="260" customFormat="false" ht="15.75" hidden="false" customHeight="true" outlineLevel="0" collapsed="false">
      <c r="D260" s="20"/>
      <c r="Q260" s="21"/>
      <c r="R260" s="21"/>
      <c r="S260" s="21"/>
      <c r="T260" s="21"/>
    </row>
    <row r="261" customFormat="false" ht="15.75" hidden="false" customHeight="true" outlineLevel="0" collapsed="false">
      <c r="D261" s="20"/>
      <c r="Q261" s="21"/>
      <c r="R261" s="21"/>
      <c r="S261" s="21"/>
      <c r="T261" s="21"/>
    </row>
    <row r="262" customFormat="false" ht="15.75" hidden="false" customHeight="true" outlineLevel="0" collapsed="false">
      <c r="D262" s="20"/>
      <c r="Q262" s="21"/>
      <c r="R262" s="21"/>
      <c r="S262" s="21"/>
      <c r="T262" s="21"/>
    </row>
    <row r="263" customFormat="false" ht="15.75" hidden="false" customHeight="true" outlineLevel="0" collapsed="false">
      <c r="D263" s="20"/>
      <c r="Q263" s="21"/>
      <c r="R263" s="21"/>
      <c r="S263" s="21"/>
      <c r="T263" s="21"/>
    </row>
    <row r="264" customFormat="false" ht="15.75" hidden="false" customHeight="true" outlineLevel="0" collapsed="false">
      <c r="D264" s="20"/>
      <c r="Q264" s="21"/>
      <c r="R264" s="21"/>
      <c r="S264" s="21"/>
      <c r="T264" s="21"/>
    </row>
    <row r="265" customFormat="false" ht="15.75" hidden="false" customHeight="true" outlineLevel="0" collapsed="false">
      <c r="D265" s="20"/>
      <c r="Q265" s="21"/>
      <c r="R265" s="21"/>
      <c r="S265" s="21"/>
      <c r="T265" s="21"/>
    </row>
    <row r="266" customFormat="false" ht="15.75" hidden="false" customHeight="true" outlineLevel="0" collapsed="false">
      <c r="D266" s="20"/>
      <c r="Q266" s="21"/>
      <c r="R266" s="21"/>
      <c r="S266" s="21"/>
      <c r="T266" s="21"/>
    </row>
    <row r="267" customFormat="false" ht="15.75" hidden="false" customHeight="true" outlineLevel="0" collapsed="false">
      <c r="D267" s="20"/>
      <c r="Q267" s="21"/>
      <c r="R267" s="21"/>
      <c r="S267" s="21"/>
      <c r="T267" s="21"/>
    </row>
    <row r="268" customFormat="false" ht="15.75" hidden="false" customHeight="true" outlineLevel="0" collapsed="false">
      <c r="D268" s="20"/>
      <c r="Q268" s="21"/>
      <c r="R268" s="21"/>
      <c r="S268" s="21"/>
      <c r="T268" s="21"/>
    </row>
    <row r="269" customFormat="false" ht="15.75" hidden="false" customHeight="true" outlineLevel="0" collapsed="false">
      <c r="D269" s="20"/>
      <c r="Q269" s="21"/>
      <c r="R269" s="21"/>
      <c r="S269" s="21"/>
      <c r="T269" s="21"/>
    </row>
    <row r="270" customFormat="false" ht="15.75" hidden="false" customHeight="true" outlineLevel="0" collapsed="false">
      <c r="D270" s="20"/>
      <c r="Q270" s="21"/>
      <c r="R270" s="21"/>
      <c r="S270" s="21"/>
      <c r="T270" s="21"/>
    </row>
    <row r="271" customFormat="false" ht="15.75" hidden="false" customHeight="true" outlineLevel="0" collapsed="false">
      <c r="D271" s="20"/>
      <c r="Q271" s="21"/>
      <c r="R271" s="21"/>
      <c r="S271" s="21"/>
      <c r="T271" s="21"/>
    </row>
    <row r="272" customFormat="false" ht="15.75" hidden="false" customHeight="true" outlineLevel="0" collapsed="false">
      <c r="D272" s="20"/>
      <c r="Q272" s="21"/>
      <c r="R272" s="21"/>
      <c r="S272" s="21"/>
      <c r="T272" s="21"/>
    </row>
    <row r="273" customFormat="false" ht="15.75" hidden="false" customHeight="true" outlineLevel="0" collapsed="false">
      <c r="D273" s="20"/>
      <c r="Q273" s="21"/>
      <c r="R273" s="21"/>
      <c r="S273" s="21"/>
      <c r="T273" s="21"/>
    </row>
    <row r="274" customFormat="false" ht="15.75" hidden="false" customHeight="true" outlineLevel="0" collapsed="false">
      <c r="D274" s="20"/>
      <c r="Q274" s="21"/>
      <c r="R274" s="21"/>
      <c r="S274" s="21"/>
      <c r="T274" s="21"/>
    </row>
    <row r="275" customFormat="false" ht="15.75" hidden="false" customHeight="true" outlineLevel="0" collapsed="false">
      <c r="D275" s="20"/>
      <c r="Q275" s="21"/>
      <c r="R275" s="21"/>
      <c r="S275" s="21"/>
      <c r="T275" s="21"/>
    </row>
    <row r="276" customFormat="false" ht="15.75" hidden="false" customHeight="true" outlineLevel="0" collapsed="false">
      <c r="D276" s="20"/>
      <c r="Q276" s="21"/>
      <c r="R276" s="21"/>
      <c r="S276" s="21"/>
      <c r="T276" s="21"/>
    </row>
    <row r="277" customFormat="false" ht="15.75" hidden="false" customHeight="true" outlineLevel="0" collapsed="false">
      <c r="D277" s="20"/>
      <c r="Q277" s="21"/>
      <c r="R277" s="21"/>
      <c r="S277" s="21"/>
      <c r="T277" s="21"/>
    </row>
    <row r="278" customFormat="false" ht="15.75" hidden="false" customHeight="true" outlineLevel="0" collapsed="false">
      <c r="D278" s="20"/>
      <c r="Q278" s="21"/>
      <c r="R278" s="21"/>
      <c r="S278" s="21"/>
      <c r="T278" s="21"/>
    </row>
    <row r="279" customFormat="false" ht="15.75" hidden="false" customHeight="true" outlineLevel="0" collapsed="false">
      <c r="D279" s="20"/>
      <c r="Q279" s="21"/>
      <c r="R279" s="21"/>
      <c r="S279" s="21"/>
      <c r="T279" s="21"/>
    </row>
    <row r="280" customFormat="false" ht="15.75" hidden="false" customHeight="true" outlineLevel="0" collapsed="false">
      <c r="D280" s="20"/>
      <c r="Q280" s="21"/>
      <c r="R280" s="21"/>
      <c r="S280" s="21"/>
      <c r="T280" s="21"/>
    </row>
    <row r="281" customFormat="false" ht="15.75" hidden="false" customHeight="true" outlineLevel="0" collapsed="false">
      <c r="D281" s="20"/>
      <c r="Q281" s="21"/>
      <c r="R281" s="21"/>
      <c r="S281" s="21"/>
      <c r="T281" s="21"/>
    </row>
    <row r="282" customFormat="false" ht="15.75" hidden="false" customHeight="true" outlineLevel="0" collapsed="false">
      <c r="D282" s="20"/>
      <c r="Q282" s="21"/>
      <c r="R282" s="21"/>
      <c r="S282" s="21"/>
      <c r="T282" s="21"/>
    </row>
    <row r="283" customFormat="false" ht="15.75" hidden="false" customHeight="true" outlineLevel="0" collapsed="false">
      <c r="D283" s="20"/>
      <c r="Q283" s="21"/>
      <c r="R283" s="21"/>
      <c r="S283" s="21"/>
      <c r="T283" s="21"/>
    </row>
    <row r="284" customFormat="false" ht="15.75" hidden="false" customHeight="true" outlineLevel="0" collapsed="false">
      <c r="D284" s="20"/>
      <c r="Q284" s="21"/>
      <c r="R284" s="21"/>
      <c r="S284" s="21"/>
      <c r="T284" s="21"/>
    </row>
    <row r="285" customFormat="false" ht="15.75" hidden="false" customHeight="true" outlineLevel="0" collapsed="false">
      <c r="D285" s="20"/>
      <c r="Q285" s="21"/>
      <c r="R285" s="21"/>
      <c r="S285" s="21"/>
      <c r="T285" s="21"/>
    </row>
    <row r="286" customFormat="false" ht="15.75" hidden="false" customHeight="true" outlineLevel="0" collapsed="false">
      <c r="D286" s="20"/>
      <c r="Q286" s="21"/>
      <c r="R286" s="21"/>
      <c r="S286" s="21"/>
      <c r="T286" s="21"/>
    </row>
    <row r="287" customFormat="false" ht="15.75" hidden="false" customHeight="true" outlineLevel="0" collapsed="false">
      <c r="D287" s="20"/>
      <c r="Q287" s="21"/>
      <c r="R287" s="21"/>
      <c r="S287" s="21"/>
      <c r="T287" s="21"/>
    </row>
    <row r="288" customFormat="false" ht="15.75" hidden="false" customHeight="true" outlineLevel="0" collapsed="false">
      <c r="D288" s="20"/>
      <c r="Q288" s="21"/>
      <c r="R288" s="21"/>
      <c r="S288" s="21"/>
      <c r="T288" s="21"/>
    </row>
    <row r="289" customFormat="false" ht="15.75" hidden="false" customHeight="true" outlineLevel="0" collapsed="false">
      <c r="D289" s="20"/>
      <c r="Q289" s="21"/>
      <c r="R289" s="21"/>
      <c r="S289" s="21"/>
      <c r="T289" s="21"/>
    </row>
    <row r="290" customFormat="false" ht="15.75" hidden="false" customHeight="true" outlineLevel="0" collapsed="false">
      <c r="D290" s="20"/>
      <c r="Q290" s="21"/>
      <c r="R290" s="21"/>
      <c r="S290" s="21"/>
      <c r="T290" s="21"/>
    </row>
    <row r="291" customFormat="false" ht="15.75" hidden="false" customHeight="true" outlineLevel="0" collapsed="false">
      <c r="D291" s="20"/>
      <c r="Q291" s="21"/>
      <c r="R291" s="21"/>
      <c r="S291" s="21"/>
      <c r="T291" s="21"/>
    </row>
    <row r="292" customFormat="false" ht="15.75" hidden="false" customHeight="true" outlineLevel="0" collapsed="false">
      <c r="D292" s="20"/>
      <c r="Q292" s="21"/>
      <c r="R292" s="21"/>
      <c r="S292" s="21"/>
      <c r="T292" s="21"/>
    </row>
    <row r="293" customFormat="false" ht="15.75" hidden="false" customHeight="true" outlineLevel="0" collapsed="false">
      <c r="D293" s="20"/>
      <c r="Q293" s="21"/>
      <c r="R293" s="21"/>
      <c r="S293" s="21"/>
      <c r="T293" s="21"/>
    </row>
    <row r="294" customFormat="false" ht="15.75" hidden="false" customHeight="true" outlineLevel="0" collapsed="false">
      <c r="D294" s="20"/>
      <c r="Q294" s="21"/>
      <c r="R294" s="21"/>
      <c r="S294" s="21"/>
      <c r="T294" s="21"/>
    </row>
    <row r="295" customFormat="false" ht="15.75" hidden="false" customHeight="true" outlineLevel="0" collapsed="false">
      <c r="D295" s="20"/>
      <c r="Q295" s="21"/>
      <c r="R295" s="21"/>
      <c r="S295" s="21"/>
      <c r="T295" s="21"/>
    </row>
    <row r="296" customFormat="false" ht="15.75" hidden="false" customHeight="true" outlineLevel="0" collapsed="false">
      <c r="D296" s="20"/>
      <c r="Q296" s="21"/>
      <c r="R296" s="21"/>
      <c r="S296" s="21"/>
      <c r="T296" s="21"/>
    </row>
    <row r="297" customFormat="false" ht="15.75" hidden="false" customHeight="true" outlineLevel="0" collapsed="false">
      <c r="D297" s="20"/>
      <c r="Q297" s="21"/>
      <c r="R297" s="21"/>
      <c r="S297" s="21"/>
      <c r="T297" s="21"/>
    </row>
    <row r="298" customFormat="false" ht="15.75" hidden="false" customHeight="true" outlineLevel="0" collapsed="false">
      <c r="D298" s="20"/>
      <c r="Q298" s="21"/>
      <c r="R298" s="21"/>
      <c r="S298" s="21"/>
      <c r="T298" s="21"/>
    </row>
    <row r="299" customFormat="false" ht="15.75" hidden="false" customHeight="true" outlineLevel="0" collapsed="false">
      <c r="D299" s="20"/>
      <c r="Q299" s="21"/>
      <c r="R299" s="21"/>
      <c r="S299" s="21"/>
      <c r="T299" s="21"/>
    </row>
    <row r="300" customFormat="false" ht="15.75" hidden="false" customHeight="true" outlineLevel="0" collapsed="false">
      <c r="D300" s="20"/>
      <c r="Q300" s="21"/>
      <c r="R300" s="21"/>
      <c r="S300" s="21"/>
      <c r="T300" s="21"/>
    </row>
    <row r="301" customFormat="false" ht="15.75" hidden="false" customHeight="true" outlineLevel="0" collapsed="false">
      <c r="D301" s="20"/>
      <c r="Q301" s="21"/>
      <c r="R301" s="21"/>
      <c r="S301" s="21"/>
      <c r="T301" s="21"/>
    </row>
    <row r="302" customFormat="false" ht="15.75" hidden="false" customHeight="true" outlineLevel="0" collapsed="false">
      <c r="D302" s="20"/>
      <c r="Q302" s="21"/>
      <c r="R302" s="21"/>
      <c r="S302" s="21"/>
      <c r="T302" s="21"/>
    </row>
    <row r="303" customFormat="false" ht="15.75" hidden="false" customHeight="true" outlineLevel="0" collapsed="false">
      <c r="D303" s="20"/>
      <c r="Q303" s="21"/>
      <c r="R303" s="21"/>
      <c r="S303" s="21"/>
      <c r="T303" s="21"/>
    </row>
    <row r="304" customFormat="false" ht="15.75" hidden="false" customHeight="true" outlineLevel="0" collapsed="false">
      <c r="D304" s="20"/>
      <c r="Q304" s="21"/>
      <c r="R304" s="21"/>
      <c r="S304" s="21"/>
      <c r="T304" s="21"/>
    </row>
    <row r="305" customFormat="false" ht="15.75" hidden="false" customHeight="true" outlineLevel="0" collapsed="false">
      <c r="D305" s="20"/>
      <c r="Q305" s="21"/>
      <c r="R305" s="21"/>
      <c r="S305" s="21"/>
      <c r="T305" s="21"/>
    </row>
    <row r="306" customFormat="false" ht="15.75" hidden="false" customHeight="true" outlineLevel="0" collapsed="false">
      <c r="D306" s="20"/>
      <c r="Q306" s="21"/>
      <c r="R306" s="21"/>
      <c r="S306" s="21"/>
      <c r="T306" s="21"/>
    </row>
    <row r="307" customFormat="false" ht="15.75" hidden="false" customHeight="true" outlineLevel="0" collapsed="false">
      <c r="D307" s="20"/>
      <c r="Q307" s="21"/>
      <c r="R307" s="21"/>
      <c r="S307" s="21"/>
      <c r="T307" s="21"/>
    </row>
    <row r="308" customFormat="false" ht="15.75" hidden="false" customHeight="true" outlineLevel="0" collapsed="false">
      <c r="D308" s="20"/>
      <c r="Q308" s="21"/>
      <c r="R308" s="21"/>
      <c r="S308" s="21"/>
      <c r="T308" s="21"/>
    </row>
    <row r="309" customFormat="false" ht="15.75" hidden="false" customHeight="true" outlineLevel="0" collapsed="false">
      <c r="D309" s="20"/>
      <c r="Q309" s="21"/>
      <c r="R309" s="21"/>
      <c r="S309" s="21"/>
      <c r="T309" s="21"/>
    </row>
    <row r="310" customFormat="false" ht="15.75" hidden="false" customHeight="true" outlineLevel="0" collapsed="false">
      <c r="D310" s="20"/>
      <c r="Q310" s="21"/>
      <c r="R310" s="21"/>
      <c r="S310" s="21"/>
      <c r="T310" s="21"/>
    </row>
    <row r="311" customFormat="false" ht="15.75" hidden="false" customHeight="true" outlineLevel="0" collapsed="false">
      <c r="D311" s="20"/>
      <c r="Q311" s="21"/>
      <c r="R311" s="21"/>
      <c r="S311" s="21"/>
      <c r="T311" s="21"/>
    </row>
    <row r="312" customFormat="false" ht="15.75" hidden="false" customHeight="true" outlineLevel="0" collapsed="false">
      <c r="D312" s="20"/>
      <c r="Q312" s="21"/>
      <c r="R312" s="21"/>
      <c r="S312" s="21"/>
      <c r="T312" s="21"/>
    </row>
    <row r="313" customFormat="false" ht="15.75" hidden="false" customHeight="true" outlineLevel="0" collapsed="false">
      <c r="D313" s="20"/>
      <c r="Q313" s="21"/>
      <c r="R313" s="21"/>
      <c r="S313" s="21"/>
      <c r="T313" s="21"/>
    </row>
    <row r="314" customFormat="false" ht="15.75" hidden="false" customHeight="true" outlineLevel="0" collapsed="false">
      <c r="D314" s="20"/>
      <c r="Q314" s="21"/>
      <c r="R314" s="21"/>
      <c r="S314" s="21"/>
      <c r="T314" s="21"/>
    </row>
    <row r="315" customFormat="false" ht="15.75" hidden="false" customHeight="true" outlineLevel="0" collapsed="false">
      <c r="D315" s="20"/>
      <c r="Q315" s="21"/>
      <c r="R315" s="21"/>
      <c r="S315" s="21"/>
      <c r="T315" s="21"/>
    </row>
    <row r="316" customFormat="false" ht="15.75" hidden="false" customHeight="true" outlineLevel="0" collapsed="false">
      <c r="D316" s="20"/>
      <c r="Q316" s="21"/>
      <c r="R316" s="21"/>
      <c r="S316" s="21"/>
      <c r="T316" s="21"/>
    </row>
    <row r="317" customFormat="false" ht="15.75" hidden="false" customHeight="true" outlineLevel="0" collapsed="false">
      <c r="D317" s="20"/>
      <c r="Q317" s="21"/>
      <c r="R317" s="21"/>
      <c r="S317" s="21"/>
      <c r="T317" s="21"/>
    </row>
    <row r="318" customFormat="false" ht="15.75" hidden="false" customHeight="true" outlineLevel="0" collapsed="false">
      <c r="D318" s="20"/>
      <c r="Q318" s="21"/>
      <c r="R318" s="21"/>
      <c r="S318" s="21"/>
      <c r="T318" s="21"/>
    </row>
    <row r="319" customFormat="false" ht="15.75" hidden="false" customHeight="true" outlineLevel="0" collapsed="false">
      <c r="D319" s="20"/>
      <c r="Q319" s="21"/>
      <c r="R319" s="21"/>
      <c r="S319" s="21"/>
      <c r="T319" s="21"/>
    </row>
    <row r="320" customFormat="false" ht="15.75" hidden="false" customHeight="true" outlineLevel="0" collapsed="false">
      <c r="D320" s="20"/>
      <c r="Q320" s="21"/>
      <c r="R320" s="21"/>
      <c r="S320" s="21"/>
      <c r="T320" s="21"/>
    </row>
    <row r="321" customFormat="false" ht="15.75" hidden="false" customHeight="true" outlineLevel="0" collapsed="false">
      <c r="D321" s="20"/>
      <c r="Q321" s="21"/>
      <c r="R321" s="21"/>
      <c r="S321" s="21"/>
      <c r="T321" s="21"/>
    </row>
    <row r="322" customFormat="false" ht="15.75" hidden="false" customHeight="true" outlineLevel="0" collapsed="false">
      <c r="D322" s="20"/>
      <c r="Q322" s="21"/>
      <c r="R322" s="21"/>
      <c r="S322" s="21"/>
      <c r="T322" s="21"/>
    </row>
    <row r="323" customFormat="false" ht="15.75" hidden="false" customHeight="true" outlineLevel="0" collapsed="false">
      <c r="D323" s="20"/>
      <c r="Q323" s="21"/>
      <c r="R323" s="21"/>
      <c r="S323" s="21"/>
      <c r="T323" s="21"/>
    </row>
    <row r="324" customFormat="false" ht="15.75" hidden="false" customHeight="true" outlineLevel="0" collapsed="false">
      <c r="D324" s="20"/>
      <c r="Q324" s="21"/>
      <c r="R324" s="21"/>
      <c r="S324" s="21"/>
      <c r="T324" s="21"/>
    </row>
    <row r="325" customFormat="false" ht="15.75" hidden="false" customHeight="true" outlineLevel="0" collapsed="false">
      <c r="D325" s="20"/>
      <c r="Q325" s="21"/>
      <c r="R325" s="21"/>
      <c r="S325" s="21"/>
      <c r="T325" s="21"/>
    </row>
    <row r="326" customFormat="false" ht="15.75" hidden="false" customHeight="true" outlineLevel="0" collapsed="false">
      <c r="D326" s="20"/>
      <c r="Q326" s="21"/>
      <c r="R326" s="21"/>
      <c r="S326" s="21"/>
      <c r="T326" s="21"/>
    </row>
    <row r="327" customFormat="false" ht="15.75" hidden="false" customHeight="true" outlineLevel="0" collapsed="false">
      <c r="D327" s="20"/>
      <c r="Q327" s="21"/>
      <c r="R327" s="21"/>
      <c r="S327" s="21"/>
      <c r="T327" s="21"/>
    </row>
    <row r="328" customFormat="false" ht="15.75" hidden="false" customHeight="true" outlineLevel="0" collapsed="false">
      <c r="D328" s="20"/>
      <c r="Q328" s="21"/>
      <c r="R328" s="21"/>
      <c r="S328" s="21"/>
      <c r="T328" s="21"/>
    </row>
    <row r="329" customFormat="false" ht="15.75" hidden="false" customHeight="true" outlineLevel="0" collapsed="false">
      <c r="D329" s="20"/>
      <c r="Q329" s="21"/>
      <c r="R329" s="21"/>
      <c r="S329" s="21"/>
      <c r="T329" s="21"/>
    </row>
    <row r="330" customFormat="false" ht="15.75" hidden="false" customHeight="true" outlineLevel="0" collapsed="false">
      <c r="D330" s="20"/>
      <c r="Q330" s="21"/>
      <c r="R330" s="21"/>
      <c r="S330" s="21"/>
      <c r="T330" s="21"/>
    </row>
    <row r="331" customFormat="false" ht="15.75" hidden="false" customHeight="true" outlineLevel="0" collapsed="false">
      <c r="D331" s="20"/>
      <c r="Q331" s="21"/>
      <c r="R331" s="21"/>
      <c r="S331" s="21"/>
      <c r="T331" s="21"/>
    </row>
    <row r="332" customFormat="false" ht="15.75" hidden="false" customHeight="true" outlineLevel="0" collapsed="false">
      <c r="D332" s="20"/>
      <c r="Q332" s="21"/>
      <c r="R332" s="21"/>
      <c r="S332" s="21"/>
      <c r="T332" s="21"/>
    </row>
    <row r="333" customFormat="false" ht="15.75" hidden="false" customHeight="true" outlineLevel="0" collapsed="false">
      <c r="D333" s="20"/>
      <c r="Q333" s="21"/>
      <c r="R333" s="21"/>
      <c r="S333" s="21"/>
      <c r="T333" s="21"/>
    </row>
    <row r="334" customFormat="false" ht="15.75" hidden="false" customHeight="true" outlineLevel="0" collapsed="false">
      <c r="D334" s="20"/>
      <c r="Q334" s="21"/>
      <c r="R334" s="21"/>
      <c r="S334" s="21"/>
      <c r="T334" s="21"/>
    </row>
    <row r="335" customFormat="false" ht="15.75" hidden="false" customHeight="true" outlineLevel="0" collapsed="false">
      <c r="D335" s="20"/>
      <c r="Q335" s="21"/>
      <c r="R335" s="21"/>
      <c r="S335" s="21"/>
      <c r="T335" s="21"/>
    </row>
    <row r="336" customFormat="false" ht="15.75" hidden="false" customHeight="true" outlineLevel="0" collapsed="false">
      <c r="D336" s="20"/>
      <c r="Q336" s="21"/>
      <c r="R336" s="21"/>
      <c r="S336" s="21"/>
      <c r="T336" s="21"/>
    </row>
    <row r="337" customFormat="false" ht="15.75" hidden="false" customHeight="true" outlineLevel="0" collapsed="false">
      <c r="D337" s="20"/>
      <c r="Q337" s="21"/>
      <c r="R337" s="21"/>
      <c r="S337" s="21"/>
      <c r="T337" s="21"/>
    </row>
    <row r="338" customFormat="false" ht="15.75" hidden="false" customHeight="true" outlineLevel="0" collapsed="false">
      <c r="D338" s="20"/>
      <c r="Q338" s="21"/>
      <c r="R338" s="21"/>
      <c r="S338" s="21"/>
      <c r="T338" s="21"/>
    </row>
    <row r="339" customFormat="false" ht="15.75" hidden="false" customHeight="true" outlineLevel="0" collapsed="false">
      <c r="D339" s="20"/>
      <c r="Q339" s="21"/>
      <c r="R339" s="21"/>
      <c r="S339" s="21"/>
      <c r="T339" s="21"/>
    </row>
    <row r="340" customFormat="false" ht="15.75" hidden="false" customHeight="true" outlineLevel="0" collapsed="false">
      <c r="D340" s="20"/>
      <c r="Q340" s="21"/>
      <c r="R340" s="21"/>
      <c r="S340" s="21"/>
      <c r="T340" s="21"/>
    </row>
    <row r="341" customFormat="false" ht="15.75" hidden="false" customHeight="true" outlineLevel="0" collapsed="false">
      <c r="D341" s="20"/>
      <c r="Q341" s="21"/>
      <c r="R341" s="21"/>
      <c r="S341" s="21"/>
      <c r="T341" s="21"/>
    </row>
    <row r="342" customFormat="false" ht="15.75" hidden="false" customHeight="true" outlineLevel="0" collapsed="false">
      <c r="D342" s="20"/>
      <c r="Q342" s="21"/>
      <c r="R342" s="21"/>
      <c r="S342" s="21"/>
      <c r="T342" s="21"/>
    </row>
    <row r="343" customFormat="false" ht="15.75" hidden="false" customHeight="true" outlineLevel="0" collapsed="false">
      <c r="D343" s="20"/>
      <c r="Q343" s="21"/>
      <c r="R343" s="21"/>
      <c r="S343" s="21"/>
      <c r="T343" s="21"/>
    </row>
    <row r="344" customFormat="false" ht="15.75" hidden="false" customHeight="true" outlineLevel="0" collapsed="false">
      <c r="D344" s="20"/>
      <c r="Q344" s="21"/>
      <c r="R344" s="21"/>
      <c r="S344" s="21"/>
      <c r="T344" s="21"/>
    </row>
    <row r="345" customFormat="false" ht="15.75" hidden="false" customHeight="true" outlineLevel="0" collapsed="false">
      <c r="D345" s="20"/>
      <c r="Q345" s="21"/>
      <c r="R345" s="21"/>
      <c r="S345" s="21"/>
      <c r="T345" s="21"/>
    </row>
    <row r="346" customFormat="false" ht="15.75" hidden="false" customHeight="true" outlineLevel="0" collapsed="false">
      <c r="D346" s="20"/>
      <c r="Q346" s="21"/>
      <c r="R346" s="21"/>
      <c r="S346" s="21"/>
      <c r="T346" s="21"/>
    </row>
    <row r="347" customFormat="false" ht="15.75" hidden="false" customHeight="true" outlineLevel="0" collapsed="false">
      <c r="D347" s="20"/>
      <c r="Q347" s="21"/>
      <c r="R347" s="21"/>
      <c r="S347" s="21"/>
      <c r="T347" s="21"/>
    </row>
    <row r="348" customFormat="false" ht="15.75" hidden="false" customHeight="true" outlineLevel="0" collapsed="false">
      <c r="D348" s="20"/>
      <c r="Q348" s="21"/>
      <c r="R348" s="21"/>
      <c r="S348" s="21"/>
      <c r="T348" s="21"/>
    </row>
    <row r="349" customFormat="false" ht="15.75" hidden="false" customHeight="true" outlineLevel="0" collapsed="false">
      <c r="D349" s="20"/>
      <c r="Q349" s="21"/>
      <c r="R349" s="21"/>
      <c r="S349" s="21"/>
      <c r="T349" s="21"/>
    </row>
    <row r="350" customFormat="false" ht="15.75" hidden="false" customHeight="true" outlineLevel="0" collapsed="false">
      <c r="D350" s="20"/>
      <c r="Q350" s="21"/>
      <c r="R350" s="21"/>
      <c r="S350" s="21"/>
      <c r="T350" s="21"/>
    </row>
    <row r="351" customFormat="false" ht="15.75" hidden="false" customHeight="true" outlineLevel="0" collapsed="false">
      <c r="D351" s="20"/>
      <c r="Q351" s="21"/>
      <c r="R351" s="21"/>
      <c r="S351" s="21"/>
      <c r="T351" s="21"/>
    </row>
    <row r="352" customFormat="false" ht="15.75" hidden="false" customHeight="true" outlineLevel="0" collapsed="false">
      <c r="D352" s="20"/>
      <c r="Q352" s="21"/>
      <c r="R352" s="21"/>
      <c r="S352" s="21"/>
      <c r="T352" s="21"/>
    </row>
    <row r="353" customFormat="false" ht="15.75" hidden="false" customHeight="true" outlineLevel="0" collapsed="false">
      <c r="D353" s="20"/>
      <c r="Q353" s="21"/>
      <c r="R353" s="21"/>
      <c r="S353" s="21"/>
      <c r="T353" s="21"/>
    </row>
    <row r="354" customFormat="false" ht="15.75" hidden="false" customHeight="true" outlineLevel="0" collapsed="false">
      <c r="D354" s="20"/>
      <c r="Q354" s="21"/>
      <c r="R354" s="21"/>
      <c r="S354" s="21"/>
      <c r="T354" s="21"/>
    </row>
    <row r="355" customFormat="false" ht="15.75" hidden="false" customHeight="true" outlineLevel="0" collapsed="false">
      <c r="D355" s="20"/>
      <c r="Q355" s="21"/>
      <c r="R355" s="21"/>
      <c r="S355" s="21"/>
      <c r="T355" s="21"/>
    </row>
    <row r="356" customFormat="false" ht="15.75" hidden="false" customHeight="true" outlineLevel="0" collapsed="false">
      <c r="D356" s="20"/>
      <c r="Q356" s="21"/>
      <c r="R356" s="21"/>
      <c r="S356" s="21"/>
      <c r="T356" s="21"/>
    </row>
    <row r="357" customFormat="false" ht="15.75" hidden="false" customHeight="true" outlineLevel="0" collapsed="false">
      <c r="D357" s="20"/>
      <c r="Q357" s="21"/>
      <c r="R357" s="21"/>
      <c r="S357" s="21"/>
      <c r="T357" s="21"/>
    </row>
    <row r="358" customFormat="false" ht="15.75" hidden="false" customHeight="true" outlineLevel="0" collapsed="false">
      <c r="D358" s="20"/>
      <c r="Q358" s="21"/>
      <c r="R358" s="21"/>
      <c r="S358" s="21"/>
      <c r="T358" s="21"/>
    </row>
    <row r="359" customFormat="false" ht="15.75" hidden="false" customHeight="true" outlineLevel="0" collapsed="false">
      <c r="D359" s="20"/>
      <c r="Q359" s="21"/>
      <c r="R359" s="21"/>
      <c r="S359" s="21"/>
      <c r="T359" s="21"/>
    </row>
    <row r="360" customFormat="false" ht="15.75" hidden="false" customHeight="true" outlineLevel="0" collapsed="false">
      <c r="D360" s="20"/>
      <c r="Q360" s="21"/>
      <c r="R360" s="21"/>
      <c r="S360" s="21"/>
      <c r="T360" s="21"/>
    </row>
    <row r="361" customFormat="false" ht="15.75" hidden="false" customHeight="true" outlineLevel="0" collapsed="false">
      <c r="D361" s="20"/>
      <c r="Q361" s="21"/>
      <c r="R361" s="21"/>
      <c r="S361" s="21"/>
      <c r="T361" s="21"/>
    </row>
    <row r="362" customFormat="false" ht="15.75" hidden="false" customHeight="true" outlineLevel="0" collapsed="false">
      <c r="D362" s="20"/>
      <c r="Q362" s="21"/>
      <c r="R362" s="21"/>
      <c r="S362" s="21"/>
      <c r="T362" s="21"/>
    </row>
    <row r="363" customFormat="false" ht="15.75" hidden="false" customHeight="true" outlineLevel="0" collapsed="false">
      <c r="D363" s="20"/>
      <c r="Q363" s="21"/>
      <c r="R363" s="21"/>
      <c r="S363" s="21"/>
      <c r="T363" s="21"/>
    </row>
    <row r="364" customFormat="false" ht="15.75" hidden="false" customHeight="true" outlineLevel="0" collapsed="false">
      <c r="D364" s="20"/>
      <c r="Q364" s="21"/>
      <c r="R364" s="21"/>
      <c r="S364" s="21"/>
      <c r="T364" s="21"/>
    </row>
    <row r="365" customFormat="false" ht="15.75" hidden="false" customHeight="true" outlineLevel="0" collapsed="false">
      <c r="D365" s="20"/>
      <c r="Q365" s="21"/>
      <c r="R365" s="21"/>
      <c r="S365" s="21"/>
      <c r="T365" s="21"/>
    </row>
    <row r="366" customFormat="false" ht="15.75" hidden="false" customHeight="true" outlineLevel="0" collapsed="false">
      <c r="D366" s="20"/>
      <c r="Q366" s="21"/>
      <c r="R366" s="21"/>
      <c r="S366" s="21"/>
      <c r="T366" s="21"/>
    </row>
    <row r="367" customFormat="false" ht="15.75" hidden="false" customHeight="true" outlineLevel="0" collapsed="false">
      <c r="D367" s="20"/>
      <c r="Q367" s="21"/>
      <c r="R367" s="21"/>
      <c r="S367" s="21"/>
      <c r="T367" s="21"/>
    </row>
    <row r="368" customFormat="false" ht="15.75" hidden="false" customHeight="true" outlineLevel="0" collapsed="false">
      <c r="D368" s="20"/>
      <c r="Q368" s="21"/>
      <c r="R368" s="21"/>
      <c r="S368" s="21"/>
      <c r="T368" s="21"/>
    </row>
    <row r="369" customFormat="false" ht="15.75" hidden="false" customHeight="true" outlineLevel="0" collapsed="false">
      <c r="D369" s="20"/>
      <c r="Q369" s="21"/>
      <c r="R369" s="21"/>
      <c r="S369" s="21"/>
      <c r="T369" s="21"/>
    </row>
    <row r="370" customFormat="false" ht="15.75" hidden="false" customHeight="true" outlineLevel="0" collapsed="false">
      <c r="D370" s="20"/>
      <c r="Q370" s="21"/>
      <c r="R370" s="21"/>
      <c r="S370" s="21"/>
      <c r="T370" s="21"/>
    </row>
    <row r="371" customFormat="false" ht="15.75" hidden="false" customHeight="true" outlineLevel="0" collapsed="false">
      <c r="D371" s="20"/>
      <c r="Q371" s="21"/>
      <c r="R371" s="21"/>
      <c r="S371" s="21"/>
      <c r="T371" s="21"/>
    </row>
    <row r="372" customFormat="false" ht="15.75" hidden="false" customHeight="true" outlineLevel="0" collapsed="false">
      <c r="D372" s="20"/>
      <c r="Q372" s="21"/>
      <c r="R372" s="21"/>
      <c r="S372" s="21"/>
      <c r="T372" s="21"/>
    </row>
    <row r="373" customFormat="false" ht="15.75" hidden="false" customHeight="true" outlineLevel="0" collapsed="false">
      <c r="D373" s="20"/>
      <c r="Q373" s="21"/>
      <c r="R373" s="21"/>
      <c r="S373" s="21"/>
      <c r="T373" s="21"/>
    </row>
    <row r="374" customFormat="false" ht="15.75" hidden="false" customHeight="true" outlineLevel="0" collapsed="false">
      <c r="D374" s="20"/>
      <c r="Q374" s="21"/>
      <c r="R374" s="21"/>
      <c r="S374" s="21"/>
      <c r="T374" s="21"/>
    </row>
    <row r="375" customFormat="false" ht="15.75" hidden="false" customHeight="true" outlineLevel="0" collapsed="false">
      <c r="D375" s="20"/>
      <c r="Q375" s="21"/>
      <c r="R375" s="21"/>
      <c r="S375" s="21"/>
      <c r="T375" s="21"/>
    </row>
    <row r="376" customFormat="false" ht="15.75" hidden="false" customHeight="true" outlineLevel="0" collapsed="false">
      <c r="D376" s="20"/>
      <c r="Q376" s="21"/>
      <c r="R376" s="21"/>
      <c r="S376" s="21"/>
      <c r="T376" s="21"/>
    </row>
    <row r="377" customFormat="false" ht="15.75" hidden="false" customHeight="true" outlineLevel="0" collapsed="false">
      <c r="D377" s="20"/>
      <c r="Q377" s="21"/>
      <c r="R377" s="21"/>
      <c r="S377" s="21"/>
      <c r="T377" s="21"/>
    </row>
    <row r="378" customFormat="false" ht="15.75" hidden="false" customHeight="true" outlineLevel="0" collapsed="false">
      <c r="D378" s="20"/>
      <c r="Q378" s="21"/>
      <c r="R378" s="21"/>
      <c r="S378" s="21"/>
      <c r="T378" s="21"/>
    </row>
    <row r="379" customFormat="false" ht="15.75" hidden="false" customHeight="true" outlineLevel="0" collapsed="false">
      <c r="D379" s="20"/>
      <c r="Q379" s="21"/>
      <c r="R379" s="21"/>
      <c r="S379" s="21"/>
      <c r="T379" s="21"/>
    </row>
    <row r="380" customFormat="false" ht="15.75" hidden="false" customHeight="true" outlineLevel="0" collapsed="false">
      <c r="D380" s="20"/>
      <c r="Q380" s="21"/>
      <c r="R380" s="21"/>
      <c r="S380" s="21"/>
      <c r="T380" s="21"/>
    </row>
    <row r="381" customFormat="false" ht="15.75" hidden="false" customHeight="true" outlineLevel="0" collapsed="false">
      <c r="D381" s="20"/>
      <c r="Q381" s="21"/>
      <c r="R381" s="21"/>
      <c r="S381" s="21"/>
      <c r="T381" s="21"/>
    </row>
    <row r="382" customFormat="false" ht="15.75" hidden="false" customHeight="true" outlineLevel="0" collapsed="false">
      <c r="D382" s="20"/>
      <c r="Q382" s="21"/>
      <c r="R382" s="21"/>
      <c r="S382" s="21"/>
      <c r="T382" s="21"/>
    </row>
    <row r="383" customFormat="false" ht="15.75" hidden="false" customHeight="true" outlineLevel="0" collapsed="false">
      <c r="D383" s="20"/>
      <c r="Q383" s="21"/>
      <c r="R383" s="21"/>
      <c r="S383" s="21"/>
      <c r="T383" s="21"/>
    </row>
    <row r="384" customFormat="false" ht="15.75" hidden="false" customHeight="true" outlineLevel="0" collapsed="false">
      <c r="D384" s="20"/>
      <c r="Q384" s="21"/>
      <c r="R384" s="21"/>
      <c r="S384" s="21"/>
      <c r="T384" s="21"/>
    </row>
    <row r="385" customFormat="false" ht="15.75" hidden="false" customHeight="true" outlineLevel="0" collapsed="false">
      <c r="D385" s="20"/>
      <c r="Q385" s="21"/>
      <c r="R385" s="21"/>
      <c r="S385" s="21"/>
      <c r="T385" s="21"/>
    </row>
    <row r="386" customFormat="false" ht="15.75" hidden="false" customHeight="true" outlineLevel="0" collapsed="false">
      <c r="D386" s="20"/>
      <c r="Q386" s="21"/>
      <c r="R386" s="21"/>
      <c r="S386" s="21"/>
      <c r="T386" s="21"/>
    </row>
    <row r="387" customFormat="false" ht="15.75" hidden="false" customHeight="true" outlineLevel="0" collapsed="false">
      <c r="D387" s="20"/>
      <c r="Q387" s="21"/>
      <c r="R387" s="21"/>
      <c r="S387" s="21"/>
      <c r="T387" s="21"/>
    </row>
    <row r="388" customFormat="false" ht="15.75" hidden="false" customHeight="true" outlineLevel="0" collapsed="false">
      <c r="D388" s="20"/>
      <c r="Q388" s="21"/>
      <c r="R388" s="21"/>
      <c r="S388" s="21"/>
      <c r="T388" s="21"/>
    </row>
    <row r="389" customFormat="false" ht="15.75" hidden="false" customHeight="true" outlineLevel="0" collapsed="false">
      <c r="D389" s="20"/>
      <c r="Q389" s="21"/>
      <c r="R389" s="21"/>
      <c r="S389" s="21"/>
      <c r="T389" s="21"/>
    </row>
    <row r="390" customFormat="false" ht="15.75" hidden="false" customHeight="true" outlineLevel="0" collapsed="false">
      <c r="D390" s="20"/>
      <c r="Q390" s="21"/>
      <c r="R390" s="21"/>
      <c r="S390" s="21"/>
      <c r="T390" s="21"/>
    </row>
    <row r="391" customFormat="false" ht="15.75" hidden="false" customHeight="true" outlineLevel="0" collapsed="false">
      <c r="D391" s="20"/>
      <c r="Q391" s="21"/>
      <c r="R391" s="21"/>
      <c r="S391" s="21"/>
      <c r="T391" s="21"/>
    </row>
    <row r="392" customFormat="false" ht="15.75" hidden="false" customHeight="true" outlineLevel="0" collapsed="false">
      <c r="D392" s="20"/>
      <c r="Q392" s="21"/>
      <c r="R392" s="21"/>
      <c r="S392" s="21"/>
      <c r="T392" s="21"/>
    </row>
    <row r="393" customFormat="false" ht="15.75" hidden="false" customHeight="true" outlineLevel="0" collapsed="false">
      <c r="D393" s="20"/>
      <c r="Q393" s="21"/>
      <c r="R393" s="21"/>
      <c r="S393" s="21"/>
      <c r="T393" s="21"/>
    </row>
    <row r="394" customFormat="false" ht="15.75" hidden="false" customHeight="true" outlineLevel="0" collapsed="false">
      <c r="D394" s="20"/>
      <c r="Q394" s="21"/>
      <c r="R394" s="21"/>
      <c r="S394" s="21"/>
      <c r="T394" s="21"/>
    </row>
    <row r="395" customFormat="false" ht="15.75" hidden="false" customHeight="true" outlineLevel="0" collapsed="false">
      <c r="D395" s="20"/>
      <c r="Q395" s="21"/>
      <c r="R395" s="21"/>
      <c r="S395" s="21"/>
      <c r="T395" s="21"/>
    </row>
    <row r="396" customFormat="false" ht="15.75" hidden="false" customHeight="true" outlineLevel="0" collapsed="false">
      <c r="D396" s="20"/>
      <c r="Q396" s="21"/>
      <c r="R396" s="21"/>
      <c r="S396" s="21"/>
      <c r="T396" s="21"/>
    </row>
    <row r="397" customFormat="false" ht="15.75" hidden="false" customHeight="true" outlineLevel="0" collapsed="false">
      <c r="D397" s="20"/>
      <c r="Q397" s="21"/>
      <c r="R397" s="21"/>
      <c r="S397" s="21"/>
      <c r="T397" s="21"/>
    </row>
    <row r="398" customFormat="false" ht="15.75" hidden="false" customHeight="true" outlineLevel="0" collapsed="false">
      <c r="D398" s="20"/>
      <c r="Q398" s="21"/>
      <c r="R398" s="21"/>
      <c r="S398" s="21"/>
      <c r="T398" s="21"/>
    </row>
    <row r="399" customFormat="false" ht="15.75" hidden="false" customHeight="true" outlineLevel="0" collapsed="false">
      <c r="D399" s="20"/>
      <c r="Q399" s="21"/>
      <c r="R399" s="21"/>
      <c r="S399" s="21"/>
      <c r="T399" s="21"/>
    </row>
    <row r="400" customFormat="false" ht="15.75" hidden="false" customHeight="true" outlineLevel="0" collapsed="false">
      <c r="D400" s="20"/>
      <c r="Q400" s="21"/>
      <c r="R400" s="21"/>
      <c r="S400" s="21"/>
      <c r="T400" s="21"/>
    </row>
    <row r="401" customFormat="false" ht="15.75" hidden="false" customHeight="true" outlineLevel="0" collapsed="false">
      <c r="D401" s="20"/>
      <c r="Q401" s="21"/>
      <c r="R401" s="21"/>
      <c r="S401" s="21"/>
      <c r="T401" s="21"/>
    </row>
    <row r="402" customFormat="false" ht="15.75" hidden="false" customHeight="true" outlineLevel="0" collapsed="false">
      <c r="D402" s="20"/>
      <c r="Q402" s="21"/>
      <c r="R402" s="21"/>
      <c r="S402" s="21"/>
      <c r="T402" s="21"/>
    </row>
    <row r="403" customFormat="false" ht="15.75" hidden="false" customHeight="true" outlineLevel="0" collapsed="false">
      <c r="D403" s="20"/>
      <c r="Q403" s="21"/>
      <c r="R403" s="21"/>
      <c r="S403" s="21"/>
      <c r="T403" s="21"/>
    </row>
    <row r="404" customFormat="false" ht="15.75" hidden="false" customHeight="true" outlineLevel="0" collapsed="false">
      <c r="D404" s="20"/>
      <c r="Q404" s="21"/>
      <c r="R404" s="21"/>
      <c r="S404" s="21"/>
      <c r="T404" s="21"/>
    </row>
    <row r="405" customFormat="false" ht="15.75" hidden="false" customHeight="true" outlineLevel="0" collapsed="false">
      <c r="D405" s="20"/>
      <c r="Q405" s="21"/>
      <c r="R405" s="21"/>
      <c r="S405" s="21"/>
      <c r="T405" s="21"/>
    </row>
    <row r="406" customFormat="false" ht="15.75" hidden="false" customHeight="true" outlineLevel="0" collapsed="false">
      <c r="D406" s="20"/>
      <c r="Q406" s="21"/>
      <c r="R406" s="21"/>
      <c r="S406" s="21"/>
      <c r="T406" s="21"/>
    </row>
    <row r="407" customFormat="false" ht="15.75" hidden="false" customHeight="true" outlineLevel="0" collapsed="false">
      <c r="D407" s="20"/>
      <c r="Q407" s="21"/>
      <c r="R407" s="21"/>
      <c r="S407" s="21"/>
      <c r="T407" s="21"/>
    </row>
    <row r="408" customFormat="false" ht="15.75" hidden="false" customHeight="true" outlineLevel="0" collapsed="false">
      <c r="D408" s="20"/>
      <c r="Q408" s="21"/>
      <c r="R408" s="21"/>
      <c r="S408" s="21"/>
      <c r="T408" s="21"/>
    </row>
    <row r="409" customFormat="false" ht="15.75" hidden="false" customHeight="true" outlineLevel="0" collapsed="false">
      <c r="D409" s="20"/>
      <c r="Q409" s="21"/>
      <c r="R409" s="21"/>
      <c r="S409" s="21"/>
      <c r="T409" s="21"/>
    </row>
    <row r="410" customFormat="false" ht="15.75" hidden="false" customHeight="true" outlineLevel="0" collapsed="false">
      <c r="D410" s="20"/>
      <c r="Q410" s="21"/>
      <c r="R410" s="21"/>
      <c r="S410" s="21"/>
      <c r="T410" s="21"/>
    </row>
    <row r="411" customFormat="false" ht="15.75" hidden="false" customHeight="true" outlineLevel="0" collapsed="false">
      <c r="D411" s="20"/>
      <c r="Q411" s="21"/>
      <c r="R411" s="21"/>
      <c r="S411" s="21"/>
      <c r="T411" s="21"/>
    </row>
    <row r="412" customFormat="false" ht="15.75" hidden="false" customHeight="true" outlineLevel="0" collapsed="false">
      <c r="D412" s="20"/>
      <c r="Q412" s="21"/>
      <c r="R412" s="21"/>
      <c r="S412" s="21"/>
      <c r="T412" s="21"/>
    </row>
    <row r="413" customFormat="false" ht="15.75" hidden="false" customHeight="true" outlineLevel="0" collapsed="false">
      <c r="D413" s="20"/>
      <c r="Q413" s="21"/>
      <c r="R413" s="21"/>
      <c r="S413" s="21"/>
      <c r="T413" s="21"/>
    </row>
    <row r="414" customFormat="false" ht="15.75" hidden="false" customHeight="true" outlineLevel="0" collapsed="false">
      <c r="D414" s="20"/>
      <c r="Q414" s="21"/>
      <c r="R414" s="21"/>
      <c r="S414" s="21"/>
      <c r="T414" s="21"/>
    </row>
    <row r="415" customFormat="false" ht="15.75" hidden="false" customHeight="true" outlineLevel="0" collapsed="false">
      <c r="D415" s="20"/>
      <c r="Q415" s="21"/>
      <c r="R415" s="21"/>
      <c r="S415" s="21"/>
      <c r="T415" s="21"/>
    </row>
    <row r="416" customFormat="false" ht="15.75" hidden="false" customHeight="true" outlineLevel="0" collapsed="false">
      <c r="D416" s="20"/>
      <c r="Q416" s="21"/>
      <c r="R416" s="21"/>
      <c r="S416" s="21"/>
      <c r="T416" s="21"/>
    </row>
    <row r="417" customFormat="false" ht="15.75" hidden="false" customHeight="true" outlineLevel="0" collapsed="false">
      <c r="D417" s="20"/>
      <c r="Q417" s="21"/>
      <c r="R417" s="21"/>
      <c r="S417" s="21"/>
      <c r="T417" s="21"/>
    </row>
    <row r="418" customFormat="false" ht="15.75" hidden="false" customHeight="true" outlineLevel="0" collapsed="false">
      <c r="D418" s="20"/>
      <c r="Q418" s="21"/>
      <c r="R418" s="21"/>
      <c r="S418" s="21"/>
      <c r="T418" s="21"/>
    </row>
    <row r="419" customFormat="false" ht="15.75" hidden="false" customHeight="true" outlineLevel="0" collapsed="false">
      <c r="D419" s="20"/>
      <c r="Q419" s="21"/>
      <c r="R419" s="21"/>
      <c r="S419" s="21"/>
      <c r="T419" s="21"/>
    </row>
    <row r="420" customFormat="false" ht="15.75" hidden="false" customHeight="true" outlineLevel="0" collapsed="false">
      <c r="D420" s="20"/>
      <c r="Q420" s="21"/>
      <c r="R420" s="21"/>
      <c r="S420" s="21"/>
      <c r="T420" s="21"/>
    </row>
    <row r="421" customFormat="false" ht="15.75" hidden="false" customHeight="true" outlineLevel="0" collapsed="false">
      <c r="D421" s="20"/>
      <c r="Q421" s="21"/>
      <c r="R421" s="21"/>
      <c r="S421" s="21"/>
      <c r="T421" s="21"/>
    </row>
    <row r="422" customFormat="false" ht="15.75" hidden="false" customHeight="true" outlineLevel="0" collapsed="false">
      <c r="D422" s="20"/>
      <c r="Q422" s="21"/>
      <c r="R422" s="21"/>
      <c r="S422" s="21"/>
      <c r="T422" s="21"/>
    </row>
    <row r="423" customFormat="false" ht="15.75" hidden="false" customHeight="true" outlineLevel="0" collapsed="false">
      <c r="D423" s="20"/>
      <c r="Q423" s="21"/>
      <c r="R423" s="21"/>
      <c r="S423" s="21"/>
      <c r="T423" s="21"/>
    </row>
    <row r="424" customFormat="false" ht="15.75" hidden="false" customHeight="true" outlineLevel="0" collapsed="false">
      <c r="D424" s="20"/>
      <c r="Q424" s="21"/>
      <c r="R424" s="21"/>
      <c r="S424" s="21"/>
      <c r="T424" s="21"/>
    </row>
    <row r="425" customFormat="false" ht="15.75" hidden="false" customHeight="true" outlineLevel="0" collapsed="false">
      <c r="D425" s="20"/>
      <c r="Q425" s="21"/>
      <c r="R425" s="21"/>
      <c r="S425" s="21"/>
      <c r="T425" s="21"/>
    </row>
    <row r="426" customFormat="false" ht="15.75" hidden="false" customHeight="true" outlineLevel="0" collapsed="false">
      <c r="D426" s="20"/>
      <c r="Q426" s="21"/>
      <c r="R426" s="21"/>
      <c r="S426" s="21"/>
      <c r="T426" s="21"/>
    </row>
    <row r="427" customFormat="false" ht="15.75" hidden="false" customHeight="true" outlineLevel="0" collapsed="false">
      <c r="D427" s="20"/>
      <c r="Q427" s="21"/>
      <c r="R427" s="21"/>
      <c r="S427" s="21"/>
      <c r="T427" s="21"/>
    </row>
    <row r="428" customFormat="false" ht="15.75" hidden="false" customHeight="true" outlineLevel="0" collapsed="false">
      <c r="D428" s="20"/>
      <c r="Q428" s="21"/>
      <c r="R428" s="21"/>
      <c r="S428" s="21"/>
      <c r="T428" s="21"/>
    </row>
    <row r="429" customFormat="false" ht="15.75" hidden="false" customHeight="true" outlineLevel="0" collapsed="false">
      <c r="D429" s="20"/>
      <c r="Q429" s="21"/>
      <c r="R429" s="21"/>
      <c r="S429" s="21"/>
      <c r="T429" s="21"/>
    </row>
    <row r="430" customFormat="false" ht="15.75" hidden="false" customHeight="true" outlineLevel="0" collapsed="false">
      <c r="D430" s="20"/>
      <c r="Q430" s="21"/>
      <c r="R430" s="21"/>
      <c r="S430" s="21"/>
      <c r="T430" s="21"/>
    </row>
    <row r="431" customFormat="false" ht="15.75" hidden="false" customHeight="true" outlineLevel="0" collapsed="false">
      <c r="D431" s="20"/>
      <c r="Q431" s="21"/>
      <c r="R431" s="21"/>
      <c r="S431" s="21"/>
      <c r="T431" s="21"/>
    </row>
    <row r="432" customFormat="false" ht="15.75" hidden="false" customHeight="true" outlineLevel="0" collapsed="false">
      <c r="D432" s="20"/>
      <c r="Q432" s="21"/>
      <c r="R432" s="21"/>
      <c r="S432" s="21"/>
      <c r="T432" s="21"/>
    </row>
    <row r="433" customFormat="false" ht="15.75" hidden="false" customHeight="true" outlineLevel="0" collapsed="false">
      <c r="D433" s="20"/>
      <c r="Q433" s="21"/>
      <c r="R433" s="21"/>
      <c r="S433" s="21"/>
      <c r="T433" s="21"/>
    </row>
    <row r="434" customFormat="false" ht="15.75" hidden="false" customHeight="true" outlineLevel="0" collapsed="false">
      <c r="D434" s="20"/>
      <c r="Q434" s="21"/>
      <c r="R434" s="21"/>
      <c r="S434" s="21"/>
      <c r="T434" s="21"/>
    </row>
    <row r="435" customFormat="false" ht="15.75" hidden="false" customHeight="true" outlineLevel="0" collapsed="false">
      <c r="D435" s="20"/>
      <c r="Q435" s="21"/>
      <c r="R435" s="21"/>
      <c r="S435" s="21"/>
      <c r="T435" s="21"/>
    </row>
    <row r="436" customFormat="false" ht="15.75" hidden="false" customHeight="true" outlineLevel="0" collapsed="false">
      <c r="D436" s="20"/>
      <c r="Q436" s="21"/>
      <c r="R436" s="21"/>
      <c r="S436" s="21"/>
      <c r="T436" s="21"/>
    </row>
    <row r="437" customFormat="false" ht="15.75" hidden="false" customHeight="true" outlineLevel="0" collapsed="false">
      <c r="D437" s="20"/>
      <c r="Q437" s="21"/>
      <c r="R437" s="21"/>
      <c r="S437" s="21"/>
      <c r="T437" s="21"/>
    </row>
    <row r="438" customFormat="false" ht="15.75" hidden="false" customHeight="true" outlineLevel="0" collapsed="false">
      <c r="D438" s="20"/>
      <c r="Q438" s="21"/>
      <c r="R438" s="21"/>
      <c r="S438" s="21"/>
      <c r="T438" s="21"/>
    </row>
    <row r="439" customFormat="false" ht="15.75" hidden="false" customHeight="true" outlineLevel="0" collapsed="false">
      <c r="D439" s="20"/>
      <c r="Q439" s="21"/>
      <c r="R439" s="21"/>
      <c r="S439" s="21"/>
      <c r="T439" s="21"/>
    </row>
    <row r="440" customFormat="false" ht="15.75" hidden="false" customHeight="true" outlineLevel="0" collapsed="false">
      <c r="D440" s="20"/>
      <c r="Q440" s="21"/>
      <c r="R440" s="21"/>
      <c r="S440" s="21"/>
      <c r="T440" s="21"/>
    </row>
    <row r="441" customFormat="false" ht="15.75" hidden="false" customHeight="true" outlineLevel="0" collapsed="false">
      <c r="D441" s="20"/>
      <c r="Q441" s="21"/>
      <c r="R441" s="21"/>
      <c r="S441" s="21"/>
      <c r="T441" s="21"/>
    </row>
    <row r="442" customFormat="false" ht="15.75" hidden="false" customHeight="true" outlineLevel="0" collapsed="false">
      <c r="D442" s="20"/>
      <c r="Q442" s="21"/>
      <c r="R442" s="21"/>
      <c r="S442" s="21"/>
      <c r="T442" s="21"/>
    </row>
    <row r="443" customFormat="false" ht="15.75" hidden="false" customHeight="true" outlineLevel="0" collapsed="false">
      <c r="D443" s="20"/>
      <c r="Q443" s="21"/>
      <c r="R443" s="21"/>
      <c r="S443" s="21"/>
      <c r="T443" s="21"/>
    </row>
    <row r="444" customFormat="false" ht="15.75" hidden="false" customHeight="true" outlineLevel="0" collapsed="false">
      <c r="D444" s="20"/>
      <c r="Q444" s="21"/>
      <c r="R444" s="21"/>
      <c r="S444" s="21"/>
      <c r="T444" s="21"/>
    </row>
    <row r="445" customFormat="false" ht="15.75" hidden="false" customHeight="true" outlineLevel="0" collapsed="false">
      <c r="D445" s="20"/>
      <c r="Q445" s="21"/>
      <c r="R445" s="21"/>
      <c r="S445" s="21"/>
      <c r="T445" s="21"/>
    </row>
    <row r="446" customFormat="false" ht="15.75" hidden="false" customHeight="true" outlineLevel="0" collapsed="false">
      <c r="D446" s="20"/>
      <c r="Q446" s="21"/>
      <c r="R446" s="21"/>
      <c r="S446" s="21"/>
      <c r="T446" s="21"/>
    </row>
    <row r="447" customFormat="false" ht="15.75" hidden="false" customHeight="true" outlineLevel="0" collapsed="false">
      <c r="D447" s="20"/>
      <c r="Q447" s="21"/>
      <c r="R447" s="21"/>
      <c r="S447" s="21"/>
      <c r="T447" s="21"/>
    </row>
    <row r="448" customFormat="false" ht="15.75" hidden="false" customHeight="true" outlineLevel="0" collapsed="false">
      <c r="D448" s="20"/>
      <c r="Q448" s="21"/>
      <c r="R448" s="21"/>
      <c r="S448" s="21"/>
      <c r="T448" s="21"/>
    </row>
    <row r="449" customFormat="false" ht="15.75" hidden="false" customHeight="true" outlineLevel="0" collapsed="false">
      <c r="D449" s="20"/>
      <c r="Q449" s="21"/>
      <c r="R449" s="21"/>
      <c r="S449" s="21"/>
      <c r="T449" s="21"/>
    </row>
    <row r="450" customFormat="false" ht="15.75" hidden="false" customHeight="true" outlineLevel="0" collapsed="false">
      <c r="D450" s="20"/>
      <c r="Q450" s="21"/>
      <c r="R450" s="21"/>
      <c r="S450" s="21"/>
      <c r="T450" s="21"/>
    </row>
    <row r="451" customFormat="false" ht="15.75" hidden="false" customHeight="true" outlineLevel="0" collapsed="false">
      <c r="D451" s="20"/>
      <c r="Q451" s="21"/>
      <c r="R451" s="21"/>
      <c r="S451" s="21"/>
      <c r="T451" s="21"/>
    </row>
    <row r="452" customFormat="false" ht="15.75" hidden="false" customHeight="true" outlineLevel="0" collapsed="false">
      <c r="D452" s="20"/>
      <c r="Q452" s="21"/>
      <c r="R452" s="21"/>
      <c r="S452" s="21"/>
      <c r="T452" s="21"/>
    </row>
    <row r="453" customFormat="false" ht="15.75" hidden="false" customHeight="true" outlineLevel="0" collapsed="false">
      <c r="D453" s="20"/>
      <c r="Q453" s="21"/>
      <c r="R453" s="21"/>
      <c r="S453" s="21"/>
      <c r="T453" s="21"/>
    </row>
    <row r="454" customFormat="false" ht="15.75" hidden="false" customHeight="true" outlineLevel="0" collapsed="false">
      <c r="D454" s="20"/>
      <c r="Q454" s="21"/>
      <c r="R454" s="21"/>
      <c r="S454" s="21"/>
      <c r="T454" s="21"/>
    </row>
    <row r="455" customFormat="false" ht="15.75" hidden="false" customHeight="true" outlineLevel="0" collapsed="false">
      <c r="D455" s="20"/>
      <c r="Q455" s="21"/>
      <c r="R455" s="21"/>
      <c r="S455" s="21"/>
      <c r="T455" s="21"/>
    </row>
    <row r="456" customFormat="false" ht="15.75" hidden="false" customHeight="true" outlineLevel="0" collapsed="false">
      <c r="D456" s="20"/>
      <c r="Q456" s="21"/>
      <c r="R456" s="21"/>
      <c r="S456" s="21"/>
      <c r="T456" s="21"/>
    </row>
    <row r="457" customFormat="false" ht="15.75" hidden="false" customHeight="true" outlineLevel="0" collapsed="false">
      <c r="D457" s="20"/>
      <c r="Q457" s="21"/>
      <c r="R457" s="21"/>
      <c r="S457" s="21"/>
      <c r="T457" s="21"/>
    </row>
    <row r="458" customFormat="false" ht="15.75" hidden="false" customHeight="true" outlineLevel="0" collapsed="false">
      <c r="D458" s="20"/>
      <c r="Q458" s="21"/>
      <c r="R458" s="21"/>
      <c r="S458" s="21"/>
      <c r="T458" s="21"/>
    </row>
    <row r="459" customFormat="false" ht="15.75" hidden="false" customHeight="true" outlineLevel="0" collapsed="false">
      <c r="D459" s="20"/>
      <c r="Q459" s="21"/>
      <c r="R459" s="21"/>
      <c r="S459" s="21"/>
      <c r="T459" s="21"/>
    </row>
    <row r="460" customFormat="false" ht="15.75" hidden="false" customHeight="true" outlineLevel="0" collapsed="false">
      <c r="D460" s="20"/>
      <c r="Q460" s="21"/>
      <c r="R460" s="21"/>
      <c r="S460" s="21"/>
      <c r="T460" s="21"/>
    </row>
    <row r="461" customFormat="false" ht="15.75" hidden="false" customHeight="true" outlineLevel="0" collapsed="false">
      <c r="D461" s="20"/>
      <c r="Q461" s="21"/>
      <c r="R461" s="21"/>
      <c r="S461" s="21"/>
      <c r="T461" s="21"/>
    </row>
    <row r="462" customFormat="false" ht="15.75" hidden="false" customHeight="true" outlineLevel="0" collapsed="false">
      <c r="D462" s="20"/>
      <c r="Q462" s="21"/>
      <c r="R462" s="21"/>
      <c r="S462" s="21"/>
      <c r="T462" s="21"/>
    </row>
    <row r="463" customFormat="false" ht="15.75" hidden="false" customHeight="true" outlineLevel="0" collapsed="false">
      <c r="D463" s="20"/>
      <c r="Q463" s="21"/>
      <c r="R463" s="21"/>
      <c r="S463" s="21"/>
      <c r="T463" s="21"/>
    </row>
    <row r="464" customFormat="false" ht="15.75" hidden="false" customHeight="true" outlineLevel="0" collapsed="false">
      <c r="D464" s="20"/>
      <c r="Q464" s="21"/>
      <c r="R464" s="21"/>
      <c r="S464" s="21"/>
      <c r="T464" s="21"/>
    </row>
    <row r="465" customFormat="false" ht="15.75" hidden="false" customHeight="true" outlineLevel="0" collapsed="false">
      <c r="D465" s="20"/>
      <c r="Q465" s="21"/>
      <c r="R465" s="21"/>
      <c r="S465" s="21"/>
      <c r="T465" s="21"/>
    </row>
    <row r="466" customFormat="false" ht="15.75" hidden="false" customHeight="true" outlineLevel="0" collapsed="false">
      <c r="D466" s="20"/>
      <c r="Q466" s="21"/>
      <c r="R466" s="21"/>
      <c r="S466" s="21"/>
      <c r="T466" s="21"/>
    </row>
    <row r="467" customFormat="false" ht="15.75" hidden="false" customHeight="true" outlineLevel="0" collapsed="false">
      <c r="D467" s="20"/>
      <c r="Q467" s="21"/>
      <c r="R467" s="21"/>
      <c r="S467" s="21"/>
      <c r="T467" s="21"/>
    </row>
    <row r="468" customFormat="false" ht="15.75" hidden="false" customHeight="true" outlineLevel="0" collapsed="false">
      <c r="D468" s="20"/>
      <c r="Q468" s="21"/>
      <c r="R468" s="21"/>
      <c r="S468" s="21"/>
      <c r="T468" s="21"/>
    </row>
    <row r="469" customFormat="false" ht="15.75" hidden="false" customHeight="true" outlineLevel="0" collapsed="false">
      <c r="D469" s="20"/>
      <c r="Q469" s="21"/>
      <c r="R469" s="21"/>
      <c r="S469" s="21"/>
      <c r="T469" s="21"/>
    </row>
    <row r="470" customFormat="false" ht="15.75" hidden="false" customHeight="true" outlineLevel="0" collapsed="false">
      <c r="D470" s="20"/>
      <c r="Q470" s="21"/>
      <c r="R470" s="21"/>
      <c r="S470" s="21"/>
      <c r="T470" s="21"/>
    </row>
    <row r="471" customFormat="false" ht="15.75" hidden="false" customHeight="true" outlineLevel="0" collapsed="false">
      <c r="D471" s="20"/>
      <c r="Q471" s="21"/>
      <c r="R471" s="21"/>
      <c r="S471" s="21"/>
      <c r="T471" s="21"/>
    </row>
    <row r="472" customFormat="false" ht="15.75" hidden="false" customHeight="true" outlineLevel="0" collapsed="false">
      <c r="D472" s="20"/>
      <c r="Q472" s="21"/>
      <c r="R472" s="21"/>
      <c r="S472" s="21"/>
      <c r="T472" s="21"/>
    </row>
    <row r="473" customFormat="false" ht="15.75" hidden="false" customHeight="true" outlineLevel="0" collapsed="false">
      <c r="D473" s="20"/>
      <c r="Q473" s="21"/>
      <c r="R473" s="21"/>
      <c r="S473" s="21"/>
      <c r="T473" s="21"/>
    </row>
    <row r="474" customFormat="false" ht="15.75" hidden="false" customHeight="true" outlineLevel="0" collapsed="false">
      <c r="D474" s="20"/>
      <c r="Q474" s="21"/>
      <c r="R474" s="21"/>
      <c r="S474" s="21"/>
      <c r="T474" s="21"/>
    </row>
    <row r="475" customFormat="false" ht="15.75" hidden="false" customHeight="true" outlineLevel="0" collapsed="false">
      <c r="D475" s="20"/>
      <c r="Q475" s="21"/>
      <c r="R475" s="21"/>
      <c r="S475" s="21"/>
      <c r="T475" s="21"/>
    </row>
    <row r="476" customFormat="false" ht="15.75" hidden="false" customHeight="true" outlineLevel="0" collapsed="false">
      <c r="D476" s="20"/>
      <c r="Q476" s="21"/>
      <c r="R476" s="21"/>
      <c r="S476" s="21"/>
      <c r="T476" s="21"/>
    </row>
    <row r="477" customFormat="false" ht="15.75" hidden="false" customHeight="true" outlineLevel="0" collapsed="false">
      <c r="D477" s="20"/>
      <c r="Q477" s="21"/>
      <c r="R477" s="21"/>
      <c r="S477" s="21"/>
      <c r="T477" s="21"/>
    </row>
    <row r="478" customFormat="false" ht="15.75" hidden="false" customHeight="true" outlineLevel="0" collapsed="false">
      <c r="D478" s="20"/>
      <c r="Q478" s="21"/>
      <c r="R478" s="21"/>
      <c r="S478" s="21"/>
      <c r="T478" s="21"/>
    </row>
    <row r="479" customFormat="false" ht="15.75" hidden="false" customHeight="true" outlineLevel="0" collapsed="false">
      <c r="D479" s="20"/>
      <c r="Q479" s="21"/>
      <c r="R479" s="21"/>
      <c r="S479" s="21"/>
      <c r="T479" s="21"/>
    </row>
    <row r="480" customFormat="false" ht="15.75" hidden="false" customHeight="true" outlineLevel="0" collapsed="false">
      <c r="D480" s="20"/>
      <c r="Q480" s="21"/>
      <c r="R480" s="21"/>
      <c r="S480" s="21"/>
      <c r="T480" s="21"/>
    </row>
    <row r="481" customFormat="false" ht="15.75" hidden="false" customHeight="true" outlineLevel="0" collapsed="false">
      <c r="D481" s="20"/>
      <c r="Q481" s="21"/>
      <c r="R481" s="21"/>
      <c r="S481" s="21"/>
      <c r="T481" s="21"/>
    </row>
    <row r="482" customFormat="false" ht="15.75" hidden="false" customHeight="true" outlineLevel="0" collapsed="false">
      <c r="D482" s="20"/>
      <c r="Q482" s="21"/>
      <c r="R482" s="21"/>
      <c r="S482" s="21"/>
      <c r="T482" s="21"/>
    </row>
    <row r="483" customFormat="false" ht="15.75" hidden="false" customHeight="true" outlineLevel="0" collapsed="false">
      <c r="D483" s="20"/>
      <c r="Q483" s="21"/>
      <c r="R483" s="21"/>
      <c r="S483" s="21"/>
      <c r="T483" s="21"/>
    </row>
    <row r="484" customFormat="false" ht="15.75" hidden="false" customHeight="true" outlineLevel="0" collapsed="false">
      <c r="D484" s="20"/>
      <c r="Q484" s="21"/>
      <c r="R484" s="21"/>
      <c r="S484" s="21"/>
      <c r="T484" s="21"/>
    </row>
    <row r="485" customFormat="false" ht="15.75" hidden="false" customHeight="true" outlineLevel="0" collapsed="false">
      <c r="D485" s="20"/>
      <c r="Q485" s="21"/>
      <c r="R485" s="21"/>
      <c r="S485" s="21"/>
      <c r="T485" s="21"/>
    </row>
    <row r="486" customFormat="false" ht="15.75" hidden="false" customHeight="true" outlineLevel="0" collapsed="false">
      <c r="D486" s="20"/>
      <c r="Q486" s="21"/>
      <c r="R486" s="21"/>
      <c r="S486" s="21"/>
      <c r="T486" s="21"/>
    </row>
    <row r="487" customFormat="false" ht="15.75" hidden="false" customHeight="true" outlineLevel="0" collapsed="false">
      <c r="D487" s="20"/>
      <c r="Q487" s="21"/>
      <c r="R487" s="21"/>
      <c r="S487" s="21"/>
      <c r="T487" s="21"/>
    </row>
    <row r="488" customFormat="false" ht="15.75" hidden="false" customHeight="true" outlineLevel="0" collapsed="false">
      <c r="D488" s="20"/>
      <c r="Q488" s="21"/>
      <c r="R488" s="21"/>
      <c r="S488" s="21"/>
      <c r="T488" s="21"/>
    </row>
    <row r="489" customFormat="false" ht="15.75" hidden="false" customHeight="true" outlineLevel="0" collapsed="false">
      <c r="D489" s="20"/>
      <c r="Q489" s="21"/>
      <c r="R489" s="21"/>
      <c r="S489" s="21"/>
      <c r="T489" s="21"/>
    </row>
    <row r="490" customFormat="false" ht="15.75" hidden="false" customHeight="true" outlineLevel="0" collapsed="false">
      <c r="D490" s="20"/>
      <c r="Q490" s="21"/>
      <c r="R490" s="21"/>
      <c r="S490" s="21"/>
      <c r="T490" s="21"/>
    </row>
    <row r="491" customFormat="false" ht="15.75" hidden="false" customHeight="true" outlineLevel="0" collapsed="false">
      <c r="D491" s="20"/>
      <c r="Q491" s="21"/>
      <c r="R491" s="21"/>
      <c r="S491" s="21"/>
      <c r="T491" s="21"/>
    </row>
    <row r="492" customFormat="false" ht="15.75" hidden="false" customHeight="true" outlineLevel="0" collapsed="false">
      <c r="D492" s="20"/>
      <c r="Q492" s="21"/>
      <c r="R492" s="21"/>
      <c r="S492" s="21"/>
      <c r="T492" s="21"/>
    </row>
    <row r="493" customFormat="false" ht="15.75" hidden="false" customHeight="true" outlineLevel="0" collapsed="false">
      <c r="D493" s="20"/>
      <c r="Q493" s="21"/>
      <c r="R493" s="21"/>
      <c r="S493" s="21"/>
      <c r="T493" s="21"/>
    </row>
    <row r="494" customFormat="false" ht="15.75" hidden="false" customHeight="true" outlineLevel="0" collapsed="false">
      <c r="D494" s="20"/>
      <c r="Q494" s="21"/>
      <c r="R494" s="21"/>
      <c r="S494" s="21"/>
      <c r="T494" s="21"/>
    </row>
    <row r="495" customFormat="false" ht="15.75" hidden="false" customHeight="true" outlineLevel="0" collapsed="false">
      <c r="D495" s="20"/>
      <c r="Q495" s="21"/>
      <c r="R495" s="21"/>
      <c r="S495" s="21"/>
      <c r="T495" s="21"/>
    </row>
    <row r="496" customFormat="false" ht="15.75" hidden="false" customHeight="true" outlineLevel="0" collapsed="false">
      <c r="D496" s="20"/>
      <c r="Q496" s="21"/>
      <c r="R496" s="21"/>
      <c r="S496" s="21"/>
      <c r="T496" s="21"/>
    </row>
    <row r="497" customFormat="false" ht="15.75" hidden="false" customHeight="true" outlineLevel="0" collapsed="false">
      <c r="D497" s="20"/>
      <c r="Q497" s="21"/>
      <c r="R497" s="21"/>
      <c r="S497" s="21"/>
      <c r="T497" s="21"/>
    </row>
    <row r="498" customFormat="false" ht="15.75" hidden="false" customHeight="true" outlineLevel="0" collapsed="false">
      <c r="D498" s="20"/>
      <c r="Q498" s="21"/>
      <c r="R498" s="21"/>
      <c r="S498" s="21"/>
      <c r="T498" s="21"/>
    </row>
    <row r="499" customFormat="false" ht="15.75" hidden="false" customHeight="true" outlineLevel="0" collapsed="false">
      <c r="D499" s="20"/>
      <c r="Q499" s="21"/>
      <c r="R499" s="21"/>
      <c r="S499" s="21"/>
      <c r="T499" s="21"/>
    </row>
    <row r="500" customFormat="false" ht="15.75" hidden="false" customHeight="true" outlineLevel="0" collapsed="false">
      <c r="D500" s="20"/>
      <c r="Q500" s="21"/>
      <c r="R500" s="21"/>
      <c r="S500" s="21"/>
      <c r="T500" s="21"/>
    </row>
    <row r="501" customFormat="false" ht="15.75" hidden="false" customHeight="true" outlineLevel="0" collapsed="false">
      <c r="D501" s="20"/>
      <c r="Q501" s="21"/>
      <c r="R501" s="21"/>
      <c r="S501" s="21"/>
      <c r="T501" s="21"/>
    </row>
    <row r="502" customFormat="false" ht="15.75" hidden="false" customHeight="true" outlineLevel="0" collapsed="false">
      <c r="D502" s="20"/>
      <c r="Q502" s="21"/>
      <c r="R502" s="21"/>
      <c r="S502" s="21"/>
      <c r="T502" s="21"/>
    </row>
    <row r="503" customFormat="false" ht="15.75" hidden="false" customHeight="true" outlineLevel="0" collapsed="false">
      <c r="D503" s="20"/>
      <c r="Q503" s="21"/>
      <c r="R503" s="21"/>
      <c r="S503" s="21"/>
      <c r="T503" s="21"/>
    </row>
    <row r="504" customFormat="false" ht="15.75" hidden="false" customHeight="true" outlineLevel="0" collapsed="false">
      <c r="D504" s="20"/>
      <c r="Q504" s="21"/>
      <c r="R504" s="21"/>
      <c r="S504" s="21"/>
      <c r="T504" s="21"/>
    </row>
    <row r="505" customFormat="false" ht="15.75" hidden="false" customHeight="true" outlineLevel="0" collapsed="false">
      <c r="D505" s="20"/>
      <c r="Q505" s="21"/>
      <c r="R505" s="21"/>
      <c r="S505" s="21"/>
      <c r="T505" s="21"/>
    </row>
    <row r="506" customFormat="false" ht="15.75" hidden="false" customHeight="true" outlineLevel="0" collapsed="false">
      <c r="D506" s="20"/>
      <c r="Q506" s="21"/>
      <c r="R506" s="21"/>
      <c r="S506" s="21"/>
      <c r="T506" s="21"/>
    </row>
    <row r="507" customFormat="false" ht="15.75" hidden="false" customHeight="true" outlineLevel="0" collapsed="false">
      <c r="D507" s="20"/>
      <c r="Q507" s="21"/>
      <c r="R507" s="21"/>
      <c r="S507" s="21"/>
      <c r="T507" s="21"/>
    </row>
    <row r="508" customFormat="false" ht="15.75" hidden="false" customHeight="true" outlineLevel="0" collapsed="false">
      <c r="D508" s="20"/>
      <c r="Q508" s="21"/>
      <c r="R508" s="21"/>
      <c r="S508" s="21"/>
      <c r="T508" s="21"/>
    </row>
    <row r="509" customFormat="false" ht="15.75" hidden="false" customHeight="true" outlineLevel="0" collapsed="false">
      <c r="D509" s="20"/>
      <c r="Q509" s="21"/>
      <c r="R509" s="21"/>
      <c r="S509" s="21"/>
      <c r="T509" s="21"/>
    </row>
    <row r="510" customFormat="false" ht="15.75" hidden="false" customHeight="true" outlineLevel="0" collapsed="false">
      <c r="D510" s="20"/>
      <c r="Q510" s="21"/>
      <c r="R510" s="21"/>
      <c r="S510" s="21"/>
      <c r="T510" s="21"/>
    </row>
    <row r="511" customFormat="false" ht="15.75" hidden="false" customHeight="true" outlineLevel="0" collapsed="false">
      <c r="D511" s="20"/>
      <c r="Q511" s="21"/>
      <c r="R511" s="21"/>
      <c r="S511" s="21"/>
      <c r="T511" s="21"/>
    </row>
    <row r="512" customFormat="false" ht="15.75" hidden="false" customHeight="true" outlineLevel="0" collapsed="false">
      <c r="D512" s="20"/>
      <c r="Q512" s="21"/>
      <c r="R512" s="21"/>
      <c r="S512" s="21"/>
      <c r="T512" s="21"/>
    </row>
    <row r="513" customFormat="false" ht="15.75" hidden="false" customHeight="true" outlineLevel="0" collapsed="false">
      <c r="D513" s="20"/>
      <c r="Q513" s="21"/>
      <c r="R513" s="21"/>
      <c r="S513" s="21"/>
      <c r="T513" s="21"/>
    </row>
    <row r="514" customFormat="false" ht="15.75" hidden="false" customHeight="true" outlineLevel="0" collapsed="false">
      <c r="D514" s="20"/>
      <c r="Q514" s="21"/>
      <c r="R514" s="21"/>
      <c r="S514" s="21"/>
      <c r="T514" s="21"/>
    </row>
    <row r="515" customFormat="false" ht="15.75" hidden="false" customHeight="true" outlineLevel="0" collapsed="false">
      <c r="D515" s="20"/>
      <c r="Q515" s="21"/>
      <c r="R515" s="21"/>
      <c r="S515" s="21"/>
      <c r="T515" s="21"/>
    </row>
    <row r="516" customFormat="false" ht="15.75" hidden="false" customHeight="true" outlineLevel="0" collapsed="false">
      <c r="D516" s="20"/>
      <c r="Q516" s="21"/>
      <c r="R516" s="21"/>
      <c r="S516" s="21"/>
      <c r="T516" s="21"/>
    </row>
    <row r="517" customFormat="false" ht="15.75" hidden="false" customHeight="true" outlineLevel="0" collapsed="false">
      <c r="D517" s="20"/>
      <c r="Q517" s="21"/>
      <c r="R517" s="21"/>
      <c r="S517" s="21"/>
      <c r="T517" s="21"/>
    </row>
    <row r="518" customFormat="false" ht="15.75" hidden="false" customHeight="true" outlineLevel="0" collapsed="false">
      <c r="D518" s="20"/>
      <c r="Q518" s="21"/>
      <c r="R518" s="21"/>
      <c r="S518" s="21"/>
      <c r="T518" s="21"/>
    </row>
    <row r="519" customFormat="false" ht="15.75" hidden="false" customHeight="true" outlineLevel="0" collapsed="false">
      <c r="D519" s="20"/>
      <c r="Q519" s="21"/>
      <c r="R519" s="21"/>
      <c r="S519" s="21"/>
      <c r="T519" s="21"/>
    </row>
    <row r="520" customFormat="false" ht="15.75" hidden="false" customHeight="true" outlineLevel="0" collapsed="false">
      <c r="D520" s="20"/>
      <c r="Q520" s="21"/>
      <c r="R520" s="21"/>
      <c r="S520" s="21"/>
      <c r="T520" s="21"/>
    </row>
    <row r="521" customFormat="false" ht="15.75" hidden="false" customHeight="true" outlineLevel="0" collapsed="false">
      <c r="D521" s="20"/>
      <c r="Q521" s="21"/>
      <c r="R521" s="21"/>
      <c r="S521" s="21"/>
      <c r="T521" s="21"/>
    </row>
    <row r="522" customFormat="false" ht="15.75" hidden="false" customHeight="true" outlineLevel="0" collapsed="false">
      <c r="D522" s="20"/>
      <c r="Q522" s="21"/>
      <c r="R522" s="21"/>
      <c r="S522" s="21"/>
      <c r="T522" s="21"/>
    </row>
    <row r="523" customFormat="false" ht="15.75" hidden="false" customHeight="true" outlineLevel="0" collapsed="false">
      <c r="D523" s="20"/>
      <c r="Q523" s="21"/>
      <c r="R523" s="21"/>
      <c r="S523" s="21"/>
      <c r="T523" s="21"/>
    </row>
    <row r="524" customFormat="false" ht="15.75" hidden="false" customHeight="true" outlineLevel="0" collapsed="false">
      <c r="D524" s="20"/>
      <c r="Q524" s="21"/>
      <c r="R524" s="21"/>
      <c r="S524" s="21"/>
      <c r="T524" s="21"/>
    </row>
    <row r="525" customFormat="false" ht="15.75" hidden="false" customHeight="true" outlineLevel="0" collapsed="false">
      <c r="D525" s="20"/>
      <c r="Q525" s="21"/>
      <c r="R525" s="21"/>
      <c r="S525" s="21"/>
      <c r="T525" s="21"/>
    </row>
    <row r="526" customFormat="false" ht="15.75" hidden="false" customHeight="true" outlineLevel="0" collapsed="false">
      <c r="D526" s="20"/>
      <c r="Q526" s="21"/>
      <c r="R526" s="21"/>
      <c r="S526" s="21"/>
      <c r="T526" s="21"/>
    </row>
    <row r="527" customFormat="false" ht="15.75" hidden="false" customHeight="true" outlineLevel="0" collapsed="false">
      <c r="D527" s="20"/>
      <c r="Q527" s="21"/>
      <c r="R527" s="21"/>
      <c r="S527" s="21"/>
      <c r="T527" s="21"/>
    </row>
    <row r="528" customFormat="false" ht="15.75" hidden="false" customHeight="true" outlineLevel="0" collapsed="false">
      <c r="D528" s="20"/>
      <c r="Q528" s="21"/>
      <c r="R528" s="21"/>
      <c r="S528" s="21"/>
      <c r="T528" s="21"/>
    </row>
    <row r="529" customFormat="false" ht="15.75" hidden="false" customHeight="true" outlineLevel="0" collapsed="false">
      <c r="D529" s="20"/>
      <c r="Q529" s="21"/>
      <c r="R529" s="21"/>
      <c r="S529" s="21"/>
      <c r="T529" s="21"/>
    </row>
    <row r="530" customFormat="false" ht="15.75" hidden="false" customHeight="true" outlineLevel="0" collapsed="false">
      <c r="D530" s="20"/>
      <c r="Q530" s="21"/>
      <c r="R530" s="21"/>
      <c r="S530" s="21"/>
      <c r="T530" s="21"/>
    </row>
    <row r="531" customFormat="false" ht="15.75" hidden="false" customHeight="true" outlineLevel="0" collapsed="false">
      <c r="D531" s="20"/>
      <c r="Q531" s="21"/>
      <c r="R531" s="21"/>
      <c r="S531" s="21"/>
      <c r="T531" s="21"/>
    </row>
    <row r="532" customFormat="false" ht="15.75" hidden="false" customHeight="true" outlineLevel="0" collapsed="false">
      <c r="D532" s="20"/>
      <c r="Q532" s="21"/>
      <c r="R532" s="21"/>
      <c r="S532" s="21"/>
      <c r="T532" s="21"/>
    </row>
    <row r="533" customFormat="false" ht="15.75" hidden="false" customHeight="true" outlineLevel="0" collapsed="false">
      <c r="D533" s="20"/>
      <c r="Q533" s="21"/>
      <c r="R533" s="21"/>
      <c r="S533" s="21"/>
      <c r="T533" s="21"/>
    </row>
    <row r="534" customFormat="false" ht="15.75" hidden="false" customHeight="true" outlineLevel="0" collapsed="false">
      <c r="D534" s="20"/>
      <c r="Q534" s="21"/>
      <c r="R534" s="21"/>
      <c r="S534" s="21"/>
      <c r="T534" s="21"/>
    </row>
    <row r="535" customFormat="false" ht="15.75" hidden="false" customHeight="true" outlineLevel="0" collapsed="false">
      <c r="D535" s="20"/>
      <c r="Q535" s="21"/>
      <c r="R535" s="21"/>
      <c r="S535" s="21"/>
      <c r="T535" s="21"/>
    </row>
    <row r="536" customFormat="false" ht="15.75" hidden="false" customHeight="true" outlineLevel="0" collapsed="false">
      <c r="D536" s="20"/>
      <c r="Q536" s="21"/>
      <c r="R536" s="21"/>
      <c r="S536" s="21"/>
      <c r="T536" s="21"/>
    </row>
    <row r="537" customFormat="false" ht="15.75" hidden="false" customHeight="true" outlineLevel="0" collapsed="false">
      <c r="D537" s="20"/>
      <c r="Q537" s="21"/>
      <c r="R537" s="21"/>
      <c r="S537" s="21"/>
      <c r="T537" s="21"/>
    </row>
    <row r="538" customFormat="false" ht="15.75" hidden="false" customHeight="true" outlineLevel="0" collapsed="false">
      <c r="D538" s="20"/>
      <c r="Q538" s="21"/>
      <c r="R538" s="21"/>
      <c r="S538" s="21"/>
      <c r="T538" s="21"/>
    </row>
    <row r="539" customFormat="false" ht="15.75" hidden="false" customHeight="true" outlineLevel="0" collapsed="false">
      <c r="D539" s="20"/>
      <c r="Q539" s="21"/>
      <c r="R539" s="21"/>
      <c r="S539" s="21"/>
      <c r="T539" s="21"/>
    </row>
    <row r="540" customFormat="false" ht="15.75" hidden="false" customHeight="true" outlineLevel="0" collapsed="false">
      <c r="D540" s="20"/>
      <c r="Q540" s="21"/>
      <c r="R540" s="21"/>
      <c r="S540" s="21"/>
      <c r="T540" s="21"/>
    </row>
    <row r="541" customFormat="false" ht="15.75" hidden="false" customHeight="true" outlineLevel="0" collapsed="false">
      <c r="D541" s="20"/>
      <c r="Q541" s="21"/>
      <c r="R541" s="21"/>
      <c r="S541" s="21"/>
      <c r="T541" s="21"/>
    </row>
    <row r="542" customFormat="false" ht="15.75" hidden="false" customHeight="true" outlineLevel="0" collapsed="false">
      <c r="D542" s="20"/>
      <c r="Q542" s="21"/>
      <c r="R542" s="21"/>
      <c r="S542" s="21"/>
      <c r="T542" s="21"/>
    </row>
    <row r="543" customFormat="false" ht="15.75" hidden="false" customHeight="true" outlineLevel="0" collapsed="false">
      <c r="D543" s="20"/>
      <c r="Q543" s="21"/>
      <c r="R543" s="21"/>
      <c r="S543" s="21"/>
      <c r="T543" s="21"/>
    </row>
    <row r="544" customFormat="false" ht="15.75" hidden="false" customHeight="true" outlineLevel="0" collapsed="false">
      <c r="D544" s="20"/>
      <c r="Q544" s="21"/>
      <c r="R544" s="21"/>
      <c r="S544" s="21"/>
      <c r="T544" s="21"/>
    </row>
    <row r="545" customFormat="false" ht="15.75" hidden="false" customHeight="true" outlineLevel="0" collapsed="false">
      <c r="D545" s="20"/>
      <c r="Q545" s="21"/>
      <c r="R545" s="21"/>
      <c r="S545" s="21"/>
      <c r="T545" s="21"/>
    </row>
    <row r="546" customFormat="false" ht="15.75" hidden="false" customHeight="true" outlineLevel="0" collapsed="false">
      <c r="D546" s="20"/>
      <c r="Q546" s="21"/>
      <c r="R546" s="21"/>
      <c r="S546" s="21"/>
      <c r="T546" s="21"/>
    </row>
    <row r="547" customFormat="false" ht="15.75" hidden="false" customHeight="true" outlineLevel="0" collapsed="false">
      <c r="D547" s="20"/>
      <c r="Q547" s="21"/>
      <c r="R547" s="21"/>
      <c r="S547" s="21"/>
      <c r="T547" s="21"/>
    </row>
    <row r="548" customFormat="false" ht="15.75" hidden="false" customHeight="true" outlineLevel="0" collapsed="false">
      <c r="D548" s="20"/>
      <c r="Q548" s="21"/>
      <c r="R548" s="21"/>
      <c r="S548" s="21"/>
      <c r="T548" s="21"/>
    </row>
    <row r="549" customFormat="false" ht="15.75" hidden="false" customHeight="true" outlineLevel="0" collapsed="false">
      <c r="D549" s="20"/>
      <c r="Q549" s="21"/>
      <c r="R549" s="21"/>
      <c r="S549" s="21"/>
      <c r="T549" s="21"/>
    </row>
    <row r="550" customFormat="false" ht="15.75" hidden="false" customHeight="true" outlineLevel="0" collapsed="false">
      <c r="D550" s="20"/>
      <c r="Q550" s="21"/>
      <c r="R550" s="21"/>
      <c r="S550" s="21"/>
      <c r="T550" s="21"/>
    </row>
    <row r="551" customFormat="false" ht="15.75" hidden="false" customHeight="true" outlineLevel="0" collapsed="false">
      <c r="D551" s="20"/>
      <c r="Q551" s="21"/>
      <c r="R551" s="21"/>
      <c r="S551" s="21"/>
      <c r="T551" s="21"/>
    </row>
    <row r="552" customFormat="false" ht="15.75" hidden="false" customHeight="true" outlineLevel="0" collapsed="false">
      <c r="D552" s="20"/>
      <c r="Q552" s="21"/>
      <c r="R552" s="21"/>
      <c r="S552" s="21"/>
      <c r="T552" s="21"/>
    </row>
    <row r="553" customFormat="false" ht="15.75" hidden="false" customHeight="true" outlineLevel="0" collapsed="false">
      <c r="D553" s="20"/>
      <c r="Q553" s="21"/>
      <c r="R553" s="21"/>
      <c r="S553" s="21"/>
      <c r="T553" s="21"/>
    </row>
    <row r="554" customFormat="false" ht="15.75" hidden="false" customHeight="true" outlineLevel="0" collapsed="false">
      <c r="D554" s="20"/>
      <c r="Q554" s="21"/>
      <c r="R554" s="21"/>
      <c r="S554" s="21"/>
      <c r="T554" s="21"/>
    </row>
    <row r="555" customFormat="false" ht="15.75" hidden="false" customHeight="true" outlineLevel="0" collapsed="false">
      <c r="D555" s="20"/>
      <c r="Q555" s="21"/>
      <c r="R555" s="21"/>
      <c r="S555" s="21"/>
      <c r="T555" s="21"/>
    </row>
    <row r="556" customFormat="false" ht="15.75" hidden="false" customHeight="true" outlineLevel="0" collapsed="false">
      <c r="D556" s="20"/>
      <c r="Q556" s="21"/>
      <c r="R556" s="21"/>
      <c r="S556" s="21"/>
      <c r="T556" s="21"/>
    </row>
    <row r="557" customFormat="false" ht="15.75" hidden="false" customHeight="true" outlineLevel="0" collapsed="false">
      <c r="D557" s="20"/>
      <c r="Q557" s="21"/>
      <c r="R557" s="21"/>
      <c r="S557" s="21"/>
      <c r="T557" s="21"/>
    </row>
    <row r="558" customFormat="false" ht="15.75" hidden="false" customHeight="true" outlineLevel="0" collapsed="false">
      <c r="D558" s="20"/>
      <c r="Q558" s="21"/>
      <c r="R558" s="21"/>
      <c r="S558" s="21"/>
      <c r="T558" s="21"/>
    </row>
    <row r="559" customFormat="false" ht="15.75" hidden="false" customHeight="true" outlineLevel="0" collapsed="false">
      <c r="D559" s="20"/>
      <c r="Q559" s="21"/>
      <c r="R559" s="21"/>
      <c r="S559" s="21"/>
      <c r="T559" s="21"/>
    </row>
    <row r="560" customFormat="false" ht="15.75" hidden="false" customHeight="true" outlineLevel="0" collapsed="false">
      <c r="D560" s="20"/>
      <c r="Q560" s="21"/>
      <c r="R560" s="21"/>
      <c r="S560" s="21"/>
      <c r="T560" s="21"/>
    </row>
    <row r="561" customFormat="false" ht="15.75" hidden="false" customHeight="true" outlineLevel="0" collapsed="false">
      <c r="D561" s="20"/>
      <c r="Q561" s="21"/>
      <c r="R561" s="21"/>
      <c r="S561" s="21"/>
      <c r="T561" s="21"/>
    </row>
    <row r="562" customFormat="false" ht="15.75" hidden="false" customHeight="true" outlineLevel="0" collapsed="false">
      <c r="D562" s="20"/>
      <c r="Q562" s="21"/>
      <c r="R562" s="21"/>
      <c r="S562" s="21"/>
      <c r="T562" s="21"/>
    </row>
    <row r="563" customFormat="false" ht="15.75" hidden="false" customHeight="true" outlineLevel="0" collapsed="false">
      <c r="D563" s="20"/>
      <c r="Q563" s="21"/>
      <c r="R563" s="21"/>
      <c r="S563" s="21"/>
      <c r="T563" s="21"/>
    </row>
    <row r="564" customFormat="false" ht="15.75" hidden="false" customHeight="true" outlineLevel="0" collapsed="false">
      <c r="D564" s="20"/>
      <c r="Q564" s="21"/>
      <c r="R564" s="21"/>
      <c r="S564" s="21"/>
      <c r="T564" s="21"/>
    </row>
    <row r="565" customFormat="false" ht="15.75" hidden="false" customHeight="true" outlineLevel="0" collapsed="false">
      <c r="D565" s="20"/>
      <c r="Q565" s="21"/>
      <c r="R565" s="21"/>
      <c r="S565" s="21"/>
      <c r="T565" s="21"/>
    </row>
    <row r="566" customFormat="false" ht="15.75" hidden="false" customHeight="true" outlineLevel="0" collapsed="false">
      <c r="D566" s="20"/>
      <c r="Q566" s="21"/>
      <c r="R566" s="21"/>
      <c r="S566" s="21"/>
      <c r="T566" s="21"/>
    </row>
    <row r="567" customFormat="false" ht="15.75" hidden="false" customHeight="true" outlineLevel="0" collapsed="false">
      <c r="D567" s="20"/>
      <c r="Q567" s="21"/>
      <c r="R567" s="21"/>
      <c r="S567" s="21"/>
      <c r="T567" s="21"/>
    </row>
    <row r="568" customFormat="false" ht="15.75" hidden="false" customHeight="true" outlineLevel="0" collapsed="false">
      <c r="D568" s="20"/>
      <c r="Q568" s="21"/>
      <c r="R568" s="21"/>
      <c r="S568" s="21"/>
      <c r="T568" s="21"/>
    </row>
    <row r="569" customFormat="false" ht="15.75" hidden="false" customHeight="true" outlineLevel="0" collapsed="false">
      <c r="D569" s="20"/>
      <c r="Q569" s="21"/>
      <c r="R569" s="21"/>
      <c r="S569" s="21"/>
      <c r="T569" s="21"/>
    </row>
    <row r="570" customFormat="false" ht="15.75" hidden="false" customHeight="true" outlineLevel="0" collapsed="false">
      <c r="D570" s="20"/>
      <c r="Q570" s="21"/>
      <c r="R570" s="21"/>
      <c r="S570" s="21"/>
      <c r="T570" s="21"/>
    </row>
    <row r="571" customFormat="false" ht="15.75" hidden="false" customHeight="true" outlineLevel="0" collapsed="false">
      <c r="D571" s="20"/>
      <c r="Q571" s="21"/>
      <c r="R571" s="21"/>
      <c r="S571" s="21"/>
      <c r="T571" s="21"/>
    </row>
    <row r="572" customFormat="false" ht="15.75" hidden="false" customHeight="true" outlineLevel="0" collapsed="false">
      <c r="D572" s="20"/>
      <c r="Q572" s="21"/>
      <c r="R572" s="21"/>
      <c r="S572" s="21"/>
      <c r="T572" s="21"/>
    </row>
    <row r="573" customFormat="false" ht="15.75" hidden="false" customHeight="true" outlineLevel="0" collapsed="false">
      <c r="D573" s="20"/>
      <c r="Q573" s="21"/>
      <c r="R573" s="21"/>
      <c r="S573" s="21"/>
      <c r="T573" s="21"/>
    </row>
    <row r="574" customFormat="false" ht="15.75" hidden="false" customHeight="true" outlineLevel="0" collapsed="false">
      <c r="D574" s="20"/>
      <c r="Q574" s="21"/>
      <c r="R574" s="21"/>
      <c r="S574" s="21"/>
      <c r="T574" s="21"/>
    </row>
    <row r="575" customFormat="false" ht="15.75" hidden="false" customHeight="true" outlineLevel="0" collapsed="false">
      <c r="D575" s="20"/>
      <c r="Q575" s="21"/>
      <c r="R575" s="21"/>
      <c r="S575" s="21"/>
      <c r="T575" s="21"/>
    </row>
    <row r="576" customFormat="false" ht="15.75" hidden="false" customHeight="true" outlineLevel="0" collapsed="false">
      <c r="D576" s="20"/>
      <c r="Q576" s="21"/>
      <c r="R576" s="21"/>
      <c r="S576" s="21"/>
      <c r="T576" s="21"/>
    </row>
    <row r="577" customFormat="false" ht="15.75" hidden="false" customHeight="true" outlineLevel="0" collapsed="false">
      <c r="D577" s="20"/>
      <c r="Q577" s="21"/>
      <c r="R577" s="21"/>
      <c r="S577" s="21"/>
      <c r="T577" s="21"/>
    </row>
    <row r="578" customFormat="false" ht="15.75" hidden="false" customHeight="true" outlineLevel="0" collapsed="false">
      <c r="D578" s="20"/>
      <c r="Q578" s="21"/>
      <c r="R578" s="21"/>
      <c r="S578" s="21"/>
      <c r="T578" s="21"/>
    </row>
    <row r="579" customFormat="false" ht="15.75" hidden="false" customHeight="true" outlineLevel="0" collapsed="false">
      <c r="D579" s="20"/>
      <c r="Q579" s="21"/>
      <c r="R579" s="21"/>
      <c r="S579" s="21"/>
      <c r="T579" s="21"/>
    </row>
    <row r="580" customFormat="false" ht="15.75" hidden="false" customHeight="true" outlineLevel="0" collapsed="false">
      <c r="D580" s="20"/>
      <c r="Q580" s="21"/>
      <c r="R580" s="21"/>
      <c r="S580" s="21"/>
      <c r="T580" s="21"/>
    </row>
    <row r="581" customFormat="false" ht="15.75" hidden="false" customHeight="true" outlineLevel="0" collapsed="false">
      <c r="D581" s="20"/>
      <c r="Q581" s="21"/>
      <c r="R581" s="21"/>
      <c r="S581" s="21"/>
      <c r="T581" s="21"/>
    </row>
    <row r="582" customFormat="false" ht="15.75" hidden="false" customHeight="true" outlineLevel="0" collapsed="false">
      <c r="D582" s="20"/>
      <c r="Q582" s="21"/>
      <c r="R582" s="21"/>
      <c r="S582" s="21"/>
      <c r="T582" s="21"/>
    </row>
    <row r="583" customFormat="false" ht="15.75" hidden="false" customHeight="true" outlineLevel="0" collapsed="false">
      <c r="D583" s="20"/>
      <c r="Q583" s="21"/>
      <c r="R583" s="21"/>
      <c r="S583" s="21"/>
      <c r="T583" s="21"/>
    </row>
    <row r="584" customFormat="false" ht="15.75" hidden="false" customHeight="true" outlineLevel="0" collapsed="false">
      <c r="D584" s="20"/>
      <c r="Q584" s="21"/>
      <c r="R584" s="21"/>
      <c r="S584" s="21"/>
      <c r="T584" s="21"/>
    </row>
    <row r="585" customFormat="false" ht="15.75" hidden="false" customHeight="true" outlineLevel="0" collapsed="false">
      <c r="D585" s="20"/>
      <c r="Q585" s="21"/>
      <c r="R585" s="21"/>
      <c r="S585" s="21"/>
      <c r="T585" s="21"/>
    </row>
    <row r="586" customFormat="false" ht="15.75" hidden="false" customHeight="true" outlineLevel="0" collapsed="false">
      <c r="D586" s="20"/>
      <c r="Q586" s="21"/>
      <c r="R586" s="21"/>
      <c r="S586" s="21"/>
      <c r="T586" s="21"/>
    </row>
    <row r="587" customFormat="false" ht="15.75" hidden="false" customHeight="true" outlineLevel="0" collapsed="false">
      <c r="D587" s="20"/>
      <c r="Q587" s="21"/>
      <c r="R587" s="21"/>
      <c r="S587" s="21"/>
      <c r="T587" s="21"/>
    </row>
    <row r="588" customFormat="false" ht="15.75" hidden="false" customHeight="true" outlineLevel="0" collapsed="false">
      <c r="D588" s="20"/>
      <c r="Q588" s="21"/>
      <c r="R588" s="21"/>
      <c r="S588" s="21"/>
      <c r="T588" s="21"/>
    </row>
    <row r="589" customFormat="false" ht="15.75" hidden="false" customHeight="true" outlineLevel="0" collapsed="false">
      <c r="D589" s="20"/>
      <c r="Q589" s="21"/>
      <c r="R589" s="21"/>
      <c r="S589" s="21"/>
      <c r="T589" s="21"/>
    </row>
    <row r="590" customFormat="false" ht="15.75" hidden="false" customHeight="true" outlineLevel="0" collapsed="false">
      <c r="D590" s="20"/>
      <c r="Q590" s="21"/>
      <c r="R590" s="21"/>
      <c r="S590" s="21"/>
      <c r="T590" s="21"/>
    </row>
    <row r="591" customFormat="false" ht="15.75" hidden="false" customHeight="true" outlineLevel="0" collapsed="false">
      <c r="D591" s="20"/>
      <c r="Q591" s="21"/>
      <c r="R591" s="21"/>
      <c r="S591" s="21"/>
      <c r="T591" s="21"/>
    </row>
    <row r="592" customFormat="false" ht="15.75" hidden="false" customHeight="true" outlineLevel="0" collapsed="false">
      <c r="D592" s="20"/>
      <c r="Q592" s="21"/>
      <c r="R592" s="21"/>
      <c r="S592" s="21"/>
      <c r="T592" s="21"/>
    </row>
    <row r="593" customFormat="false" ht="15.75" hidden="false" customHeight="true" outlineLevel="0" collapsed="false">
      <c r="D593" s="20"/>
      <c r="Q593" s="21"/>
      <c r="R593" s="21"/>
      <c r="S593" s="21"/>
      <c r="T593" s="21"/>
    </row>
    <row r="594" customFormat="false" ht="15.75" hidden="false" customHeight="true" outlineLevel="0" collapsed="false">
      <c r="D594" s="20"/>
      <c r="Q594" s="21"/>
      <c r="R594" s="21"/>
      <c r="S594" s="21"/>
      <c r="T594" s="21"/>
    </row>
    <row r="595" customFormat="false" ht="15.75" hidden="false" customHeight="true" outlineLevel="0" collapsed="false">
      <c r="D595" s="20"/>
      <c r="Q595" s="21"/>
      <c r="R595" s="21"/>
      <c r="S595" s="21"/>
      <c r="T595" s="21"/>
    </row>
    <row r="596" customFormat="false" ht="15.75" hidden="false" customHeight="true" outlineLevel="0" collapsed="false">
      <c r="D596" s="20"/>
      <c r="Q596" s="21"/>
      <c r="R596" s="21"/>
      <c r="S596" s="21"/>
      <c r="T596" s="21"/>
    </row>
    <row r="597" customFormat="false" ht="15.75" hidden="false" customHeight="true" outlineLevel="0" collapsed="false">
      <c r="D597" s="20"/>
      <c r="Q597" s="21"/>
      <c r="R597" s="21"/>
      <c r="S597" s="21"/>
      <c r="T597" s="21"/>
    </row>
    <row r="598" customFormat="false" ht="15.75" hidden="false" customHeight="true" outlineLevel="0" collapsed="false">
      <c r="D598" s="20"/>
      <c r="Q598" s="21"/>
      <c r="R598" s="21"/>
      <c r="S598" s="21"/>
      <c r="T598" s="21"/>
    </row>
    <row r="599" customFormat="false" ht="15.75" hidden="false" customHeight="true" outlineLevel="0" collapsed="false">
      <c r="D599" s="20"/>
      <c r="Q599" s="21"/>
      <c r="R599" s="21"/>
      <c r="S599" s="21"/>
      <c r="T599" s="21"/>
    </row>
    <row r="600" customFormat="false" ht="15.75" hidden="false" customHeight="true" outlineLevel="0" collapsed="false">
      <c r="D600" s="20"/>
      <c r="Q600" s="21"/>
      <c r="R600" s="21"/>
      <c r="S600" s="21"/>
      <c r="T600" s="21"/>
    </row>
    <row r="601" customFormat="false" ht="15.75" hidden="false" customHeight="true" outlineLevel="0" collapsed="false">
      <c r="D601" s="20"/>
      <c r="Q601" s="21"/>
      <c r="R601" s="21"/>
      <c r="S601" s="21"/>
      <c r="T601" s="21"/>
    </row>
    <row r="602" customFormat="false" ht="15.75" hidden="false" customHeight="true" outlineLevel="0" collapsed="false">
      <c r="D602" s="20"/>
      <c r="Q602" s="21"/>
      <c r="R602" s="21"/>
      <c r="S602" s="21"/>
      <c r="T602" s="21"/>
    </row>
    <row r="603" customFormat="false" ht="15.75" hidden="false" customHeight="true" outlineLevel="0" collapsed="false">
      <c r="D603" s="20"/>
      <c r="Q603" s="21"/>
      <c r="R603" s="21"/>
      <c r="S603" s="21"/>
      <c r="T603" s="21"/>
    </row>
    <row r="604" customFormat="false" ht="15.75" hidden="false" customHeight="true" outlineLevel="0" collapsed="false">
      <c r="D604" s="20"/>
      <c r="Q604" s="21"/>
      <c r="R604" s="21"/>
      <c r="S604" s="21"/>
      <c r="T604" s="21"/>
    </row>
    <row r="605" customFormat="false" ht="15.75" hidden="false" customHeight="true" outlineLevel="0" collapsed="false">
      <c r="D605" s="20"/>
      <c r="Q605" s="21"/>
      <c r="R605" s="21"/>
      <c r="S605" s="21"/>
      <c r="T605" s="21"/>
    </row>
    <row r="606" customFormat="false" ht="15.75" hidden="false" customHeight="true" outlineLevel="0" collapsed="false">
      <c r="D606" s="20"/>
      <c r="Q606" s="21"/>
      <c r="R606" s="21"/>
      <c r="S606" s="21"/>
      <c r="T606" s="21"/>
    </row>
    <row r="607" customFormat="false" ht="15.75" hidden="false" customHeight="true" outlineLevel="0" collapsed="false">
      <c r="D607" s="20"/>
      <c r="Q607" s="21"/>
      <c r="R607" s="21"/>
      <c r="S607" s="21"/>
      <c r="T607" s="21"/>
    </row>
    <row r="608" customFormat="false" ht="15.75" hidden="false" customHeight="true" outlineLevel="0" collapsed="false">
      <c r="D608" s="20"/>
      <c r="Q608" s="21"/>
      <c r="R608" s="21"/>
      <c r="S608" s="21"/>
      <c r="T608" s="21"/>
    </row>
    <row r="609" customFormat="false" ht="15.75" hidden="false" customHeight="true" outlineLevel="0" collapsed="false">
      <c r="D609" s="20"/>
      <c r="Q609" s="21"/>
      <c r="R609" s="21"/>
      <c r="S609" s="21"/>
      <c r="T609" s="21"/>
    </row>
    <row r="610" customFormat="false" ht="15.75" hidden="false" customHeight="true" outlineLevel="0" collapsed="false">
      <c r="D610" s="20"/>
      <c r="Q610" s="21"/>
      <c r="R610" s="21"/>
      <c r="S610" s="21"/>
      <c r="T610" s="21"/>
    </row>
    <row r="611" customFormat="false" ht="15.75" hidden="false" customHeight="true" outlineLevel="0" collapsed="false">
      <c r="D611" s="20"/>
      <c r="Q611" s="21"/>
      <c r="R611" s="21"/>
      <c r="S611" s="21"/>
      <c r="T611" s="21"/>
    </row>
    <row r="612" customFormat="false" ht="15.75" hidden="false" customHeight="true" outlineLevel="0" collapsed="false">
      <c r="D612" s="20"/>
      <c r="Q612" s="21"/>
      <c r="R612" s="21"/>
      <c r="S612" s="21"/>
      <c r="T612" s="21"/>
    </row>
    <row r="613" customFormat="false" ht="15.75" hidden="false" customHeight="true" outlineLevel="0" collapsed="false">
      <c r="D613" s="20"/>
      <c r="Q613" s="21"/>
      <c r="R613" s="21"/>
      <c r="S613" s="21"/>
      <c r="T613" s="21"/>
    </row>
    <row r="614" customFormat="false" ht="15.75" hidden="false" customHeight="true" outlineLevel="0" collapsed="false">
      <c r="D614" s="20"/>
      <c r="Q614" s="21"/>
      <c r="R614" s="21"/>
      <c r="S614" s="21"/>
      <c r="T614" s="21"/>
    </row>
    <row r="615" customFormat="false" ht="15.75" hidden="false" customHeight="true" outlineLevel="0" collapsed="false">
      <c r="D615" s="20"/>
      <c r="Q615" s="21"/>
      <c r="R615" s="21"/>
      <c r="S615" s="21"/>
      <c r="T615" s="21"/>
    </row>
    <row r="616" customFormat="false" ht="15.75" hidden="false" customHeight="true" outlineLevel="0" collapsed="false">
      <c r="D616" s="20"/>
      <c r="Q616" s="21"/>
      <c r="R616" s="21"/>
      <c r="S616" s="21"/>
      <c r="T616" s="21"/>
    </row>
    <row r="617" customFormat="false" ht="15.75" hidden="false" customHeight="true" outlineLevel="0" collapsed="false">
      <c r="D617" s="20"/>
      <c r="Q617" s="21"/>
      <c r="R617" s="21"/>
      <c r="S617" s="21"/>
      <c r="T617" s="21"/>
    </row>
    <row r="618" customFormat="false" ht="15.75" hidden="false" customHeight="true" outlineLevel="0" collapsed="false">
      <c r="D618" s="20"/>
      <c r="Q618" s="21"/>
      <c r="R618" s="21"/>
      <c r="S618" s="21"/>
      <c r="T618" s="21"/>
    </row>
    <row r="619" customFormat="false" ht="15.75" hidden="false" customHeight="true" outlineLevel="0" collapsed="false">
      <c r="D619" s="20"/>
      <c r="Q619" s="21"/>
      <c r="R619" s="21"/>
      <c r="S619" s="21"/>
      <c r="T619" s="21"/>
    </row>
    <row r="620" customFormat="false" ht="15.75" hidden="false" customHeight="true" outlineLevel="0" collapsed="false">
      <c r="D620" s="20"/>
      <c r="Q620" s="21"/>
      <c r="R620" s="21"/>
      <c r="S620" s="21"/>
      <c r="T620" s="21"/>
    </row>
    <row r="621" customFormat="false" ht="15.75" hidden="false" customHeight="true" outlineLevel="0" collapsed="false">
      <c r="D621" s="20"/>
      <c r="Q621" s="21"/>
      <c r="R621" s="21"/>
      <c r="S621" s="21"/>
      <c r="T621" s="21"/>
    </row>
    <row r="622" customFormat="false" ht="15.75" hidden="false" customHeight="true" outlineLevel="0" collapsed="false">
      <c r="D622" s="20"/>
      <c r="Q622" s="21"/>
      <c r="R622" s="21"/>
      <c r="S622" s="21"/>
      <c r="T622" s="21"/>
    </row>
    <row r="623" customFormat="false" ht="15.75" hidden="false" customHeight="true" outlineLevel="0" collapsed="false">
      <c r="D623" s="20"/>
      <c r="Q623" s="21"/>
      <c r="R623" s="21"/>
      <c r="S623" s="21"/>
      <c r="T623" s="21"/>
    </row>
    <row r="624" customFormat="false" ht="15.75" hidden="false" customHeight="true" outlineLevel="0" collapsed="false">
      <c r="D624" s="20"/>
      <c r="Q624" s="21"/>
      <c r="R624" s="21"/>
      <c r="S624" s="21"/>
      <c r="T624" s="21"/>
    </row>
    <row r="625" customFormat="false" ht="15.75" hidden="false" customHeight="true" outlineLevel="0" collapsed="false">
      <c r="D625" s="20"/>
      <c r="Q625" s="21"/>
      <c r="R625" s="21"/>
      <c r="S625" s="21"/>
      <c r="T625" s="21"/>
    </row>
    <row r="626" customFormat="false" ht="15.75" hidden="false" customHeight="true" outlineLevel="0" collapsed="false">
      <c r="D626" s="20"/>
      <c r="Q626" s="21"/>
      <c r="R626" s="21"/>
      <c r="S626" s="21"/>
      <c r="T626" s="21"/>
    </row>
    <row r="627" customFormat="false" ht="15.75" hidden="false" customHeight="true" outlineLevel="0" collapsed="false">
      <c r="D627" s="20"/>
      <c r="Q627" s="21"/>
      <c r="R627" s="21"/>
      <c r="S627" s="21"/>
      <c r="T627" s="21"/>
    </row>
    <row r="628" customFormat="false" ht="15.75" hidden="false" customHeight="true" outlineLevel="0" collapsed="false">
      <c r="D628" s="20"/>
      <c r="Q628" s="21"/>
      <c r="R628" s="21"/>
      <c r="S628" s="21"/>
      <c r="T628" s="21"/>
    </row>
    <row r="629" customFormat="false" ht="15.75" hidden="false" customHeight="true" outlineLevel="0" collapsed="false">
      <c r="D629" s="20"/>
      <c r="Q629" s="21"/>
      <c r="R629" s="21"/>
      <c r="S629" s="21"/>
      <c r="T629" s="21"/>
    </row>
    <row r="630" customFormat="false" ht="15.75" hidden="false" customHeight="true" outlineLevel="0" collapsed="false">
      <c r="D630" s="20"/>
      <c r="Q630" s="21"/>
      <c r="R630" s="21"/>
      <c r="S630" s="21"/>
      <c r="T630" s="21"/>
    </row>
    <row r="631" customFormat="false" ht="15.75" hidden="false" customHeight="true" outlineLevel="0" collapsed="false">
      <c r="D631" s="20"/>
      <c r="Q631" s="21"/>
      <c r="R631" s="21"/>
      <c r="S631" s="21"/>
      <c r="T631" s="21"/>
    </row>
    <row r="632" customFormat="false" ht="15.75" hidden="false" customHeight="true" outlineLevel="0" collapsed="false">
      <c r="D632" s="20"/>
      <c r="Q632" s="21"/>
      <c r="R632" s="21"/>
      <c r="S632" s="21"/>
      <c r="T632" s="21"/>
    </row>
    <row r="633" customFormat="false" ht="15.75" hidden="false" customHeight="true" outlineLevel="0" collapsed="false">
      <c r="D633" s="20"/>
      <c r="Q633" s="21"/>
      <c r="R633" s="21"/>
      <c r="S633" s="21"/>
      <c r="T633" s="21"/>
    </row>
    <row r="634" customFormat="false" ht="15.75" hidden="false" customHeight="true" outlineLevel="0" collapsed="false">
      <c r="D634" s="20"/>
      <c r="Q634" s="21"/>
      <c r="R634" s="21"/>
      <c r="S634" s="21"/>
      <c r="T634" s="21"/>
    </row>
    <row r="635" customFormat="false" ht="15.75" hidden="false" customHeight="true" outlineLevel="0" collapsed="false">
      <c r="D635" s="20"/>
      <c r="Q635" s="21"/>
      <c r="R635" s="21"/>
      <c r="S635" s="21"/>
      <c r="T635" s="21"/>
    </row>
    <row r="636" customFormat="false" ht="15.75" hidden="false" customHeight="true" outlineLevel="0" collapsed="false">
      <c r="D636" s="20"/>
      <c r="Q636" s="21"/>
      <c r="R636" s="21"/>
      <c r="S636" s="21"/>
      <c r="T636" s="21"/>
    </row>
    <row r="637" customFormat="false" ht="15.75" hidden="false" customHeight="true" outlineLevel="0" collapsed="false">
      <c r="D637" s="20"/>
      <c r="Q637" s="21"/>
      <c r="R637" s="21"/>
      <c r="S637" s="21"/>
      <c r="T637" s="21"/>
    </row>
    <row r="638" customFormat="false" ht="15.75" hidden="false" customHeight="true" outlineLevel="0" collapsed="false">
      <c r="D638" s="20"/>
      <c r="Q638" s="21"/>
      <c r="R638" s="21"/>
      <c r="S638" s="21"/>
      <c r="T638" s="21"/>
    </row>
    <row r="639" customFormat="false" ht="15.75" hidden="false" customHeight="true" outlineLevel="0" collapsed="false">
      <c r="D639" s="20"/>
      <c r="Q639" s="21"/>
      <c r="R639" s="21"/>
      <c r="S639" s="21"/>
      <c r="T639" s="21"/>
    </row>
    <row r="640" customFormat="false" ht="15.75" hidden="false" customHeight="true" outlineLevel="0" collapsed="false">
      <c r="D640" s="20"/>
      <c r="Q640" s="21"/>
      <c r="R640" s="21"/>
      <c r="S640" s="21"/>
      <c r="T640" s="21"/>
    </row>
    <row r="641" customFormat="false" ht="15.75" hidden="false" customHeight="true" outlineLevel="0" collapsed="false">
      <c r="D641" s="20"/>
      <c r="Q641" s="21"/>
      <c r="R641" s="21"/>
      <c r="S641" s="21"/>
      <c r="T641" s="21"/>
    </row>
    <row r="642" customFormat="false" ht="15.75" hidden="false" customHeight="true" outlineLevel="0" collapsed="false">
      <c r="D642" s="20"/>
      <c r="Q642" s="21"/>
      <c r="R642" s="21"/>
      <c r="S642" s="21"/>
      <c r="T642" s="21"/>
    </row>
    <row r="643" customFormat="false" ht="15.75" hidden="false" customHeight="true" outlineLevel="0" collapsed="false">
      <c r="D643" s="20"/>
      <c r="Q643" s="21"/>
      <c r="R643" s="21"/>
      <c r="S643" s="21"/>
      <c r="T643" s="21"/>
    </row>
    <row r="644" customFormat="false" ht="15.75" hidden="false" customHeight="true" outlineLevel="0" collapsed="false">
      <c r="D644" s="20"/>
      <c r="Q644" s="21"/>
      <c r="R644" s="21"/>
      <c r="S644" s="21"/>
      <c r="T644" s="21"/>
    </row>
    <row r="645" customFormat="false" ht="15.75" hidden="false" customHeight="true" outlineLevel="0" collapsed="false">
      <c r="D645" s="20"/>
      <c r="Q645" s="21"/>
      <c r="R645" s="21"/>
      <c r="S645" s="21"/>
      <c r="T645" s="21"/>
    </row>
    <row r="646" customFormat="false" ht="15.75" hidden="false" customHeight="true" outlineLevel="0" collapsed="false">
      <c r="D646" s="20"/>
      <c r="Q646" s="21"/>
      <c r="R646" s="21"/>
      <c r="S646" s="21"/>
      <c r="T646" s="21"/>
    </row>
    <row r="647" customFormat="false" ht="15.75" hidden="false" customHeight="true" outlineLevel="0" collapsed="false">
      <c r="D647" s="20"/>
      <c r="Q647" s="21"/>
      <c r="R647" s="21"/>
      <c r="S647" s="21"/>
      <c r="T647" s="21"/>
    </row>
    <row r="648" customFormat="false" ht="15.75" hidden="false" customHeight="true" outlineLevel="0" collapsed="false">
      <c r="D648" s="20"/>
      <c r="Q648" s="21"/>
      <c r="R648" s="21"/>
      <c r="S648" s="21"/>
      <c r="T648" s="21"/>
    </row>
    <row r="649" customFormat="false" ht="15.75" hidden="false" customHeight="true" outlineLevel="0" collapsed="false">
      <c r="D649" s="20"/>
      <c r="Q649" s="21"/>
      <c r="R649" s="21"/>
      <c r="S649" s="21"/>
      <c r="T649" s="21"/>
    </row>
    <row r="650" customFormat="false" ht="15.75" hidden="false" customHeight="true" outlineLevel="0" collapsed="false">
      <c r="D650" s="20"/>
      <c r="Q650" s="21"/>
      <c r="R650" s="21"/>
      <c r="S650" s="21"/>
      <c r="T650" s="21"/>
    </row>
    <row r="651" customFormat="false" ht="15.75" hidden="false" customHeight="true" outlineLevel="0" collapsed="false">
      <c r="D651" s="20"/>
      <c r="Q651" s="21"/>
      <c r="R651" s="21"/>
      <c r="S651" s="21"/>
      <c r="T651" s="21"/>
    </row>
    <row r="652" customFormat="false" ht="15.75" hidden="false" customHeight="true" outlineLevel="0" collapsed="false">
      <c r="D652" s="20"/>
      <c r="Q652" s="21"/>
      <c r="R652" s="21"/>
      <c r="S652" s="21"/>
      <c r="T652" s="21"/>
    </row>
    <row r="653" customFormat="false" ht="15.75" hidden="false" customHeight="true" outlineLevel="0" collapsed="false">
      <c r="D653" s="20"/>
      <c r="Q653" s="21"/>
      <c r="R653" s="21"/>
      <c r="S653" s="21"/>
      <c r="T653" s="21"/>
    </row>
    <row r="654" customFormat="false" ht="15.75" hidden="false" customHeight="true" outlineLevel="0" collapsed="false">
      <c r="D654" s="20"/>
      <c r="Q654" s="21"/>
      <c r="R654" s="21"/>
      <c r="S654" s="21"/>
      <c r="T654" s="21"/>
    </row>
    <row r="655" customFormat="false" ht="15.75" hidden="false" customHeight="true" outlineLevel="0" collapsed="false">
      <c r="D655" s="20"/>
      <c r="Q655" s="21"/>
      <c r="R655" s="21"/>
      <c r="S655" s="21"/>
      <c r="T655" s="21"/>
    </row>
    <row r="656" customFormat="false" ht="15.75" hidden="false" customHeight="true" outlineLevel="0" collapsed="false">
      <c r="D656" s="20"/>
      <c r="Q656" s="21"/>
      <c r="R656" s="21"/>
      <c r="S656" s="21"/>
      <c r="T656" s="21"/>
    </row>
    <row r="657" customFormat="false" ht="15.75" hidden="false" customHeight="true" outlineLevel="0" collapsed="false">
      <c r="D657" s="20"/>
      <c r="Q657" s="21"/>
      <c r="R657" s="21"/>
      <c r="S657" s="21"/>
      <c r="T657" s="21"/>
    </row>
    <row r="658" customFormat="false" ht="15.75" hidden="false" customHeight="true" outlineLevel="0" collapsed="false">
      <c r="D658" s="20"/>
      <c r="Q658" s="21"/>
      <c r="R658" s="21"/>
      <c r="S658" s="21"/>
      <c r="T658" s="21"/>
    </row>
    <row r="659" customFormat="false" ht="15.75" hidden="false" customHeight="true" outlineLevel="0" collapsed="false">
      <c r="D659" s="20"/>
      <c r="Q659" s="21"/>
      <c r="R659" s="21"/>
      <c r="S659" s="21"/>
      <c r="T659" s="21"/>
    </row>
    <row r="660" customFormat="false" ht="15.75" hidden="false" customHeight="true" outlineLevel="0" collapsed="false">
      <c r="D660" s="20"/>
      <c r="Q660" s="21"/>
      <c r="R660" s="21"/>
      <c r="S660" s="21"/>
      <c r="T660" s="21"/>
    </row>
    <row r="661" customFormat="false" ht="15.75" hidden="false" customHeight="true" outlineLevel="0" collapsed="false">
      <c r="D661" s="20"/>
      <c r="Q661" s="21"/>
      <c r="R661" s="21"/>
      <c r="S661" s="21"/>
      <c r="T661" s="21"/>
    </row>
    <row r="662" customFormat="false" ht="15.75" hidden="false" customHeight="true" outlineLevel="0" collapsed="false">
      <c r="D662" s="20"/>
      <c r="Q662" s="21"/>
      <c r="R662" s="21"/>
      <c r="S662" s="21"/>
      <c r="T662" s="21"/>
    </row>
    <row r="663" customFormat="false" ht="15.75" hidden="false" customHeight="true" outlineLevel="0" collapsed="false">
      <c r="D663" s="20"/>
      <c r="Q663" s="21"/>
      <c r="R663" s="21"/>
      <c r="S663" s="21"/>
      <c r="T663" s="21"/>
    </row>
    <row r="664" customFormat="false" ht="15.75" hidden="false" customHeight="true" outlineLevel="0" collapsed="false">
      <c r="D664" s="20"/>
      <c r="Q664" s="21"/>
      <c r="R664" s="21"/>
      <c r="S664" s="21"/>
      <c r="T664" s="21"/>
    </row>
    <row r="665" customFormat="false" ht="15.75" hidden="false" customHeight="true" outlineLevel="0" collapsed="false">
      <c r="D665" s="20"/>
      <c r="Q665" s="21"/>
      <c r="R665" s="21"/>
      <c r="S665" s="21"/>
      <c r="T665" s="21"/>
    </row>
    <row r="666" customFormat="false" ht="15.75" hidden="false" customHeight="true" outlineLevel="0" collapsed="false">
      <c r="D666" s="20"/>
      <c r="Q666" s="21"/>
      <c r="R666" s="21"/>
      <c r="S666" s="21"/>
      <c r="T666" s="21"/>
    </row>
    <row r="667" customFormat="false" ht="15.75" hidden="false" customHeight="true" outlineLevel="0" collapsed="false">
      <c r="D667" s="20"/>
      <c r="Q667" s="21"/>
      <c r="R667" s="21"/>
      <c r="S667" s="21"/>
      <c r="T667" s="21"/>
    </row>
    <row r="668" customFormat="false" ht="15.75" hidden="false" customHeight="true" outlineLevel="0" collapsed="false">
      <c r="D668" s="20"/>
      <c r="Q668" s="21"/>
      <c r="R668" s="21"/>
      <c r="S668" s="21"/>
      <c r="T668" s="21"/>
    </row>
    <row r="669" customFormat="false" ht="15.75" hidden="false" customHeight="true" outlineLevel="0" collapsed="false">
      <c r="D669" s="20"/>
      <c r="Q669" s="21"/>
      <c r="R669" s="21"/>
      <c r="S669" s="21"/>
      <c r="T669" s="21"/>
    </row>
    <row r="670" customFormat="false" ht="15.75" hidden="false" customHeight="true" outlineLevel="0" collapsed="false">
      <c r="D670" s="20"/>
      <c r="Q670" s="21"/>
      <c r="R670" s="21"/>
      <c r="S670" s="21"/>
      <c r="T670" s="21"/>
    </row>
    <row r="671" customFormat="false" ht="15.75" hidden="false" customHeight="true" outlineLevel="0" collapsed="false">
      <c r="D671" s="20"/>
      <c r="Q671" s="21"/>
      <c r="R671" s="21"/>
      <c r="S671" s="21"/>
      <c r="T671" s="21"/>
    </row>
    <row r="672" customFormat="false" ht="15.75" hidden="false" customHeight="true" outlineLevel="0" collapsed="false">
      <c r="D672" s="20"/>
      <c r="Q672" s="21"/>
      <c r="R672" s="21"/>
      <c r="S672" s="21"/>
      <c r="T672" s="21"/>
    </row>
    <row r="673" customFormat="false" ht="15.75" hidden="false" customHeight="true" outlineLevel="0" collapsed="false">
      <c r="D673" s="20"/>
      <c r="Q673" s="21"/>
      <c r="R673" s="21"/>
      <c r="S673" s="21"/>
      <c r="T673" s="21"/>
    </row>
    <row r="674" customFormat="false" ht="15.75" hidden="false" customHeight="true" outlineLevel="0" collapsed="false">
      <c r="D674" s="20"/>
      <c r="Q674" s="21"/>
      <c r="R674" s="21"/>
      <c r="S674" s="21"/>
      <c r="T674" s="21"/>
    </row>
    <row r="675" customFormat="false" ht="15.75" hidden="false" customHeight="true" outlineLevel="0" collapsed="false">
      <c r="D675" s="20"/>
      <c r="Q675" s="21"/>
      <c r="R675" s="21"/>
      <c r="S675" s="21"/>
      <c r="T675" s="21"/>
    </row>
    <row r="676" customFormat="false" ht="15.75" hidden="false" customHeight="true" outlineLevel="0" collapsed="false">
      <c r="D676" s="20"/>
      <c r="Q676" s="21"/>
      <c r="R676" s="21"/>
      <c r="S676" s="21"/>
      <c r="T676" s="21"/>
    </row>
    <row r="677" customFormat="false" ht="15.75" hidden="false" customHeight="true" outlineLevel="0" collapsed="false">
      <c r="D677" s="20"/>
      <c r="Q677" s="21"/>
      <c r="R677" s="21"/>
      <c r="S677" s="21"/>
      <c r="T677" s="21"/>
    </row>
    <row r="678" customFormat="false" ht="15.75" hidden="false" customHeight="true" outlineLevel="0" collapsed="false">
      <c r="D678" s="20"/>
      <c r="Q678" s="21"/>
      <c r="R678" s="21"/>
      <c r="S678" s="21"/>
      <c r="T678" s="21"/>
    </row>
    <row r="679" customFormat="false" ht="15.75" hidden="false" customHeight="true" outlineLevel="0" collapsed="false">
      <c r="D679" s="20"/>
      <c r="Q679" s="21"/>
      <c r="R679" s="21"/>
      <c r="S679" s="21"/>
      <c r="T679" s="21"/>
    </row>
    <row r="680" customFormat="false" ht="15.75" hidden="false" customHeight="true" outlineLevel="0" collapsed="false">
      <c r="D680" s="20"/>
      <c r="Q680" s="21"/>
      <c r="R680" s="21"/>
      <c r="S680" s="21"/>
      <c r="T680" s="21"/>
    </row>
    <row r="681" customFormat="false" ht="15.75" hidden="false" customHeight="true" outlineLevel="0" collapsed="false">
      <c r="D681" s="20"/>
      <c r="Q681" s="21"/>
      <c r="R681" s="21"/>
      <c r="S681" s="21"/>
      <c r="T681" s="21"/>
    </row>
    <row r="682" customFormat="false" ht="15.75" hidden="false" customHeight="true" outlineLevel="0" collapsed="false">
      <c r="D682" s="20"/>
      <c r="Q682" s="21"/>
      <c r="R682" s="21"/>
      <c r="S682" s="21"/>
      <c r="T682" s="21"/>
    </row>
    <row r="683" customFormat="false" ht="15.75" hidden="false" customHeight="true" outlineLevel="0" collapsed="false">
      <c r="D683" s="20"/>
      <c r="Q683" s="21"/>
      <c r="R683" s="21"/>
      <c r="S683" s="21"/>
      <c r="T683" s="21"/>
    </row>
    <row r="684" customFormat="false" ht="15.75" hidden="false" customHeight="true" outlineLevel="0" collapsed="false">
      <c r="D684" s="20"/>
      <c r="Q684" s="21"/>
      <c r="R684" s="21"/>
      <c r="S684" s="21"/>
      <c r="T684" s="21"/>
    </row>
    <row r="685" customFormat="false" ht="15.75" hidden="false" customHeight="true" outlineLevel="0" collapsed="false">
      <c r="D685" s="20"/>
      <c r="Q685" s="21"/>
      <c r="R685" s="21"/>
      <c r="S685" s="21"/>
      <c r="T685" s="21"/>
    </row>
    <row r="686" customFormat="false" ht="15.75" hidden="false" customHeight="true" outlineLevel="0" collapsed="false">
      <c r="D686" s="20"/>
      <c r="Q686" s="21"/>
      <c r="R686" s="21"/>
      <c r="S686" s="21"/>
      <c r="T686" s="21"/>
    </row>
    <row r="687" customFormat="false" ht="15.75" hidden="false" customHeight="true" outlineLevel="0" collapsed="false">
      <c r="D687" s="20"/>
      <c r="Q687" s="21"/>
      <c r="R687" s="21"/>
      <c r="S687" s="21"/>
      <c r="T687" s="21"/>
    </row>
    <row r="688" customFormat="false" ht="15.75" hidden="false" customHeight="true" outlineLevel="0" collapsed="false">
      <c r="D688" s="20"/>
      <c r="Q688" s="21"/>
      <c r="R688" s="21"/>
      <c r="S688" s="21"/>
      <c r="T688" s="21"/>
    </row>
    <row r="689" customFormat="false" ht="15.75" hidden="false" customHeight="true" outlineLevel="0" collapsed="false">
      <c r="D689" s="20"/>
      <c r="Q689" s="21"/>
      <c r="R689" s="21"/>
      <c r="S689" s="21"/>
      <c r="T689" s="21"/>
    </row>
    <row r="690" customFormat="false" ht="15.75" hidden="false" customHeight="true" outlineLevel="0" collapsed="false">
      <c r="D690" s="20"/>
      <c r="Q690" s="21"/>
      <c r="R690" s="21"/>
      <c r="S690" s="21"/>
      <c r="T690" s="21"/>
    </row>
    <row r="691" customFormat="false" ht="15.75" hidden="false" customHeight="true" outlineLevel="0" collapsed="false">
      <c r="D691" s="20"/>
      <c r="Q691" s="21"/>
      <c r="R691" s="21"/>
      <c r="S691" s="21"/>
      <c r="T691" s="21"/>
    </row>
    <row r="692" customFormat="false" ht="15.75" hidden="false" customHeight="true" outlineLevel="0" collapsed="false">
      <c r="D692" s="20"/>
      <c r="Q692" s="21"/>
      <c r="R692" s="21"/>
      <c r="S692" s="21"/>
      <c r="T692" s="21"/>
    </row>
    <row r="693" customFormat="false" ht="15.75" hidden="false" customHeight="true" outlineLevel="0" collapsed="false">
      <c r="D693" s="20"/>
      <c r="Q693" s="21"/>
      <c r="R693" s="21"/>
      <c r="S693" s="21"/>
      <c r="T693" s="21"/>
    </row>
    <row r="694" customFormat="false" ht="15.75" hidden="false" customHeight="true" outlineLevel="0" collapsed="false">
      <c r="D694" s="20"/>
      <c r="Q694" s="21"/>
      <c r="R694" s="21"/>
      <c r="S694" s="21"/>
      <c r="T694" s="21"/>
    </row>
    <row r="695" customFormat="false" ht="15.75" hidden="false" customHeight="true" outlineLevel="0" collapsed="false">
      <c r="D695" s="20"/>
      <c r="Q695" s="21"/>
      <c r="R695" s="21"/>
      <c r="S695" s="21"/>
      <c r="T695" s="21"/>
    </row>
    <row r="696" customFormat="false" ht="15.75" hidden="false" customHeight="true" outlineLevel="0" collapsed="false">
      <c r="D696" s="20"/>
      <c r="Q696" s="21"/>
      <c r="R696" s="21"/>
      <c r="S696" s="21"/>
      <c r="T696" s="21"/>
    </row>
    <row r="697" customFormat="false" ht="15.75" hidden="false" customHeight="true" outlineLevel="0" collapsed="false">
      <c r="D697" s="20"/>
      <c r="Q697" s="21"/>
      <c r="R697" s="21"/>
      <c r="S697" s="21"/>
      <c r="T697" s="21"/>
    </row>
    <row r="698" customFormat="false" ht="15.75" hidden="false" customHeight="true" outlineLevel="0" collapsed="false">
      <c r="D698" s="20"/>
      <c r="Q698" s="21"/>
      <c r="R698" s="21"/>
      <c r="S698" s="21"/>
      <c r="T698" s="21"/>
    </row>
    <row r="699" customFormat="false" ht="15.75" hidden="false" customHeight="true" outlineLevel="0" collapsed="false">
      <c r="D699" s="20"/>
      <c r="Q699" s="21"/>
      <c r="R699" s="21"/>
      <c r="S699" s="21"/>
      <c r="T699" s="21"/>
    </row>
    <row r="700" customFormat="false" ht="15.75" hidden="false" customHeight="true" outlineLevel="0" collapsed="false">
      <c r="D700" s="20"/>
      <c r="Q700" s="21"/>
      <c r="R700" s="21"/>
      <c r="S700" s="21"/>
      <c r="T700" s="21"/>
    </row>
    <row r="701" customFormat="false" ht="15.75" hidden="false" customHeight="true" outlineLevel="0" collapsed="false">
      <c r="D701" s="20"/>
      <c r="Q701" s="21"/>
      <c r="R701" s="21"/>
      <c r="S701" s="21"/>
      <c r="T701" s="21"/>
    </row>
    <row r="702" customFormat="false" ht="15.75" hidden="false" customHeight="true" outlineLevel="0" collapsed="false">
      <c r="D702" s="20"/>
      <c r="Q702" s="21"/>
      <c r="R702" s="21"/>
      <c r="S702" s="21"/>
      <c r="T702" s="21"/>
    </row>
    <row r="703" customFormat="false" ht="15.75" hidden="false" customHeight="true" outlineLevel="0" collapsed="false">
      <c r="D703" s="20"/>
      <c r="Q703" s="21"/>
      <c r="R703" s="21"/>
      <c r="S703" s="21"/>
      <c r="T703" s="21"/>
    </row>
    <row r="704" customFormat="false" ht="15.75" hidden="false" customHeight="true" outlineLevel="0" collapsed="false">
      <c r="D704" s="20"/>
      <c r="Q704" s="21"/>
      <c r="R704" s="21"/>
      <c r="S704" s="21"/>
      <c r="T704" s="21"/>
    </row>
    <row r="705" customFormat="false" ht="15.75" hidden="false" customHeight="true" outlineLevel="0" collapsed="false">
      <c r="D705" s="20"/>
      <c r="Q705" s="21"/>
      <c r="R705" s="21"/>
      <c r="S705" s="21"/>
      <c r="T705" s="21"/>
    </row>
    <row r="706" customFormat="false" ht="15.75" hidden="false" customHeight="true" outlineLevel="0" collapsed="false">
      <c r="D706" s="20"/>
      <c r="Q706" s="21"/>
      <c r="R706" s="21"/>
      <c r="S706" s="21"/>
      <c r="T706" s="21"/>
    </row>
    <row r="707" customFormat="false" ht="15.75" hidden="false" customHeight="true" outlineLevel="0" collapsed="false">
      <c r="D707" s="20"/>
      <c r="Q707" s="21"/>
      <c r="R707" s="21"/>
      <c r="S707" s="21"/>
      <c r="T707" s="21"/>
    </row>
    <row r="708" customFormat="false" ht="15.75" hidden="false" customHeight="true" outlineLevel="0" collapsed="false">
      <c r="D708" s="20"/>
      <c r="Q708" s="21"/>
      <c r="R708" s="21"/>
      <c r="S708" s="21"/>
      <c r="T708" s="21"/>
    </row>
    <row r="709" customFormat="false" ht="15.75" hidden="false" customHeight="true" outlineLevel="0" collapsed="false">
      <c r="D709" s="20"/>
      <c r="Q709" s="21"/>
      <c r="R709" s="21"/>
      <c r="S709" s="21"/>
      <c r="T709" s="21"/>
    </row>
    <row r="710" customFormat="false" ht="15.75" hidden="false" customHeight="true" outlineLevel="0" collapsed="false">
      <c r="D710" s="20"/>
      <c r="Q710" s="21"/>
      <c r="R710" s="21"/>
      <c r="S710" s="21"/>
      <c r="T710" s="21"/>
    </row>
    <row r="711" customFormat="false" ht="15.75" hidden="false" customHeight="true" outlineLevel="0" collapsed="false">
      <c r="D711" s="20"/>
      <c r="Q711" s="21"/>
      <c r="R711" s="21"/>
      <c r="S711" s="21"/>
      <c r="T711" s="21"/>
    </row>
    <row r="712" customFormat="false" ht="15.75" hidden="false" customHeight="true" outlineLevel="0" collapsed="false">
      <c r="D712" s="20"/>
      <c r="Q712" s="21"/>
      <c r="R712" s="21"/>
      <c r="S712" s="21"/>
      <c r="T712" s="21"/>
    </row>
    <row r="713" customFormat="false" ht="15.75" hidden="false" customHeight="true" outlineLevel="0" collapsed="false">
      <c r="D713" s="20"/>
      <c r="Q713" s="21"/>
      <c r="R713" s="21"/>
      <c r="S713" s="21"/>
      <c r="T713" s="21"/>
    </row>
    <row r="714" customFormat="false" ht="15.75" hidden="false" customHeight="true" outlineLevel="0" collapsed="false">
      <c r="D714" s="20"/>
      <c r="Q714" s="21"/>
      <c r="R714" s="21"/>
      <c r="S714" s="21"/>
      <c r="T714" s="21"/>
    </row>
    <row r="715" customFormat="false" ht="15.75" hidden="false" customHeight="true" outlineLevel="0" collapsed="false">
      <c r="D715" s="20"/>
      <c r="Q715" s="21"/>
      <c r="R715" s="21"/>
      <c r="S715" s="21"/>
      <c r="T715" s="21"/>
    </row>
    <row r="716" customFormat="false" ht="15.75" hidden="false" customHeight="true" outlineLevel="0" collapsed="false">
      <c r="D716" s="20"/>
      <c r="Q716" s="21"/>
      <c r="R716" s="21"/>
      <c r="S716" s="21"/>
      <c r="T716" s="21"/>
    </row>
    <row r="717" customFormat="false" ht="15.75" hidden="false" customHeight="true" outlineLevel="0" collapsed="false">
      <c r="D717" s="20"/>
      <c r="Q717" s="21"/>
      <c r="R717" s="21"/>
      <c r="S717" s="21"/>
      <c r="T717" s="21"/>
    </row>
    <row r="718" customFormat="false" ht="15.75" hidden="false" customHeight="true" outlineLevel="0" collapsed="false">
      <c r="D718" s="20"/>
      <c r="Q718" s="21"/>
      <c r="R718" s="21"/>
      <c r="S718" s="21"/>
      <c r="T718" s="21"/>
    </row>
    <row r="719" customFormat="false" ht="15.75" hidden="false" customHeight="true" outlineLevel="0" collapsed="false">
      <c r="D719" s="20"/>
      <c r="Q719" s="21"/>
      <c r="R719" s="21"/>
      <c r="S719" s="21"/>
      <c r="T719" s="21"/>
    </row>
    <row r="720" customFormat="false" ht="15.75" hidden="false" customHeight="true" outlineLevel="0" collapsed="false">
      <c r="D720" s="20"/>
      <c r="Q720" s="21"/>
      <c r="R720" s="21"/>
      <c r="S720" s="21"/>
      <c r="T720" s="21"/>
    </row>
    <row r="721" customFormat="false" ht="15.75" hidden="false" customHeight="true" outlineLevel="0" collapsed="false">
      <c r="D721" s="20"/>
      <c r="Q721" s="21"/>
      <c r="R721" s="21"/>
      <c r="S721" s="21"/>
      <c r="T721" s="21"/>
    </row>
    <row r="722" customFormat="false" ht="15.75" hidden="false" customHeight="true" outlineLevel="0" collapsed="false">
      <c r="D722" s="20"/>
      <c r="Q722" s="21"/>
      <c r="R722" s="21"/>
      <c r="S722" s="21"/>
      <c r="T722" s="21"/>
    </row>
    <row r="723" customFormat="false" ht="15.75" hidden="false" customHeight="true" outlineLevel="0" collapsed="false">
      <c r="D723" s="20"/>
      <c r="Q723" s="21"/>
      <c r="R723" s="21"/>
      <c r="S723" s="21"/>
      <c r="T723" s="21"/>
    </row>
    <row r="724" customFormat="false" ht="15.75" hidden="false" customHeight="true" outlineLevel="0" collapsed="false">
      <c r="D724" s="20"/>
      <c r="Q724" s="21"/>
      <c r="R724" s="21"/>
      <c r="S724" s="21"/>
      <c r="T724" s="21"/>
    </row>
    <row r="725" customFormat="false" ht="15.75" hidden="false" customHeight="true" outlineLevel="0" collapsed="false">
      <c r="D725" s="20"/>
      <c r="Q725" s="21"/>
      <c r="R725" s="21"/>
      <c r="S725" s="21"/>
      <c r="T725" s="21"/>
    </row>
    <row r="726" customFormat="false" ht="15.75" hidden="false" customHeight="true" outlineLevel="0" collapsed="false">
      <c r="D726" s="20"/>
      <c r="Q726" s="21"/>
      <c r="R726" s="21"/>
      <c r="S726" s="21"/>
      <c r="T726" s="21"/>
    </row>
    <row r="727" customFormat="false" ht="15.75" hidden="false" customHeight="true" outlineLevel="0" collapsed="false">
      <c r="D727" s="20"/>
      <c r="Q727" s="21"/>
      <c r="R727" s="21"/>
      <c r="S727" s="21"/>
      <c r="T727" s="21"/>
    </row>
    <row r="728" customFormat="false" ht="15.75" hidden="false" customHeight="true" outlineLevel="0" collapsed="false">
      <c r="D728" s="20"/>
      <c r="Q728" s="21"/>
      <c r="R728" s="21"/>
      <c r="S728" s="21"/>
      <c r="T728" s="21"/>
    </row>
    <row r="729" customFormat="false" ht="15.75" hidden="false" customHeight="true" outlineLevel="0" collapsed="false">
      <c r="D729" s="20"/>
      <c r="Q729" s="21"/>
      <c r="R729" s="21"/>
      <c r="S729" s="21"/>
      <c r="T729" s="21"/>
    </row>
    <row r="730" customFormat="false" ht="15.75" hidden="false" customHeight="true" outlineLevel="0" collapsed="false">
      <c r="D730" s="20"/>
      <c r="Q730" s="21"/>
      <c r="R730" s="21"/>
      <c r="S730" s="21"/>
      <c r="T730" s="21"/>
    </row>
    <row r="731" customFormat="false" ht="15.75" hidden="false" customHeight="true" outlineLevel="0" collapsed="false">
      <c r="D731" s="20"/>
      <c r="Q731" s="21"/>
      <c r="R731" s="21"/>
      <c r="S731" s="21"/>
      <c r="T731" s="21"/>
    </row>
    <row r="732" customFormat="false" ht="15.75" hidden="false" customHeight="true" outlineLevel="0" collapsed="false">
      <c r="D732" s="20"/>
      <c r="Q732" s="21"/>
      <c r="R732" s="21"/>
      <c r="S732" s="21"/>
      <c r="T732" s="21"/>
    </row>
    <row r="733" customFormat="false" ht="15.75" hidden="false" customHeight="true" outlineLevel="0" collapsed="false">
      <c r="D733" s="20"/>
      <c r="Q733" s="21"/>
      <c r="R733" s="21"/>
      <c r="S733" s="21"/>
      <c r="T733" s="21"/>
    </row>
    <row r="734" customFormat="false" ht="15.75" hidden="false" customHeight="true" outlineLevel="0" collapsed="false">
      <c r="D734" s="20"/>
      <c r="Q734" s="21"/>
      <c r="R734" s="21"/>
      <c r="S734" s="21"/>
      <c r="T734" s="21"/>
    </row>
    <row r="735" customFormat="false" ht="15.75" hidden="false" customHeight="true" outlineLevel="0" collapsed="false">
      <c r="D735" s="20"/>
      <c r="Q735" s="21"/>
      <c r="R735" s="21"/>
      <c r="S735" s="21"/>
      <c r="T735" s="21"/>
    </row>
    <row r="736" customFormat="false" ht="15.75" hidden="false" customHeight="true" outlineLevel="0" collapsed="false">
      <c r="D736" s="20"/>
      <c r="Q736" s="21"/>
      <c r="R736" s="21"/>
      <c r="S736" s="21"/>
      <c r="T736" s="21"/>
    </row>
    <row r="737" customFormat="false" ht="15.75" hidden="false" customHeight="true" outlineLevel="0" collapsed="false">
      <c r="D737" s="20"/>
      <c r="Q737" s="21"/>
      <c r="R737" s="21"/>
      <c r="S737" s="21"/>
      <c r="T737" s="21"/>
    </row>
    <row r="738" customFormat="false" ht="15.75" hidden="false" customHeight="true" outlineLevel="0" collapsed="false">
      <c r="D738" s="20"/>
      <c r="Q738" s="21"/>
      <c r="R738" s="21"/>
      <c r="S738" s="21"/>
      <c r="T738" s="21"/>
    </row>
    <row r="739" customFormat="false" ht="15.75" hidden="false" customHeight="true" outlineLevel="0" collapsed="false">
      <c r="D739" s="20"/>
      <c r="Q739" s="21"/>
      <c r="R739" s="21"/>
      <c r="S739" s="21"/>
      <c r="T739" s="21"/>
    </row>
    <row r="740" customFormat="false" ht="15.75" hidden="false" customHeight="true" outlineLevel="0" collapsed="false">
      <c r="D740" s="20"/>
      <c r="Q740" s="21"/>
      <c r="R740" s="21"/>
      <c r="S740" s="21"/>
      <c r="T740" s="21"/>
    </row>
    <row r="741" customFormat="false" ht="15.75" hidden="false" customHeight="true" outlineLevel="0" collapsed="false">
      <c r="D741" s="20"/>
      <c r="Q741" s="21"/>
      <c r="R741" s="21"/>
      <c r="S741" s="21"/>
      <c r="T741" s="21"/>
    </row>
    <row r="742" customFormat="false" ht="15.75" hidden="false" customHeight="true" outlineLevel="0" collapsed="false">
      <c r="D742" s="20"/>
      <c r="Q742" s="21"/>
      <c r="R742" s="21"/>
      <c r="S742" s="21"/>
      <c r="T742" s="21"/>
    </row>
    <row r="743" customFormat="false" ht="15.75" hidden="false" customHeight="true" outlineLevel="0" collapsed="false">
      <c r="D743" s="20"/>
      <c r="Q743" s="21"/>
      <c r="R743" s="21"/>
      <c r="S743" s="21"/>
      <c r="T743" s="21"/>
    </row>
    <row r="744" customFormat="false" ht="15.75" hidden="false" customHeight="true" outlineLevel="0" collapsed="false">
      <c r="D744" s="20"/>
      <c r="Q744" s="21"/>
      <c r="R744" s="21"/>
      <c r="S744" s="21"/>
      <c r="T744" s="21"/>
    </row>
    <row r="745" customFormat="false" ht="15.75" hidden="false" customHeight="true" outlineLevel="0" collapsed="false">
      <c r="D745" s="20"/>
      <c r="Q745" s="21"/>
      <c r="R745" s="21"/>
      <c r="S745" s="21"/>
      <c r="T745" s="21"/>
    </row>
    <row r="746" customFormat="false" ht="15.75" hidden="false" customHeight="true" outlineLevel="0" collapsed="false">
      <c r="D746" s="20"/>
      <c r="Q746" s="21"/>
      <c r="R746" s="21"/>
      <c r="S746" s="21"/>
      <c r="T746" s="21"/>
    </row>
    <row r="747" customFormat="false" ht="15.75" hidden="false" customHeight="true" outlineLevel="0" collapsed="false">
      <c r="D747" s="20"/>
      <c r="Q747" s="21"/>
      <c r="R747" s="21"/>
      <c r="S747" s="21"/>
      <c r="T747" s="21"/>
    </row>
    <row r="748" customFormat="false" ht="15.75" hidden="false" customHeight="true" outlineLevel="0" collapsed="false">
      <c r="D748" s="20"/>
      <c r="Q748" s="21"/>
      <c r="R748" s="21"/>
      <c r="S748" s="21"/>
      <c r="T748" s="21"/>
    </row>
    <row r="749" customFormat="false" ht="15.75" hidden="false" customHeight="true" outlineLevel="0" collapsed="false">
      <c r="D749" s="20"/>
      <c r="Q749" s="21"/>
      <c r="R749" s="21"/>
      <c r="S749" s="21"/>
      <c r="T749" s="21"/>
    </row>
    <row r="750" customFormat="false" ht="15.75" hidden="false" customHeight="true" outlineLevel="0" collapsed="false">
      <c r="D750" s="20"/>
      <c r="Q750" s="21"/>
      <c r="R750" s="21"/>
      <c r="S750" s="21"/>
      <c r="T750" s="21"/>
    </row>
    <row r="751" customFormat="false" ht="15.75" hidden="false" customHeight="true" outlineLevel="0" collapsed="false">
      <c r="D751" s="20"/>
      <c r="Q751" s="21"/>
      <c r="R751" s="21"/>
      <c r="S751" s="21"/>
      <c r="T751" s="21"/>
    </row>
    <row r="752" customFormat="false" ht="15.75" hidden="false" customHeight="true" outlineLevel="0" collapsed="false">
      <c r="D752" s="20"/>
      <c r="Q752" s="21"/>
      <c r="R752" s="21"/>
      <c r="S752" s="21"/>
      <c r="T752" s="21"/>
    </row>
    <row r="753" customFormat="false" ht="15.75" hidden="false" customHeight="true" outlineLevel="0" collapsed="false">
      <c r="D753" s="20"/>
      <c r="Q753" s="21"/>
      <c r="R753" s="21"/>
      <c r="S753" s="21"/>
      <c r="T753" s="21"/>
    </row>
    <row r="754" customFormat="false" ht="15.75" hidden="false" customHeight="true" outlineLevel="0" collapsed="false">
      <c r="D754" s="20"/>
      <c r="Q754" s="21"/>
      <c r="R754" s="21"/>
      <c r="S754" s="21"/>
      <c r="T754" s="21"/>
    </row>
    <row r="755" customFormat="false" ht="15.75" hidden="false" customHeight="true" outlineLevel="0" collapsed="false">
      <c r="D755" s="20"/>
      <c r="Q755" s="21"/>
      <c r="R755" s="21"/>
      <c r="S755" s="21"/>
      <c r="T755" s="21"/>
    </row>
    <row r="756" customFormat="false" ht="15.75" hidden="false" customHeight="true" outlineLevel="0" collapsed="false">
      <c r="D756" s="20"/>
      <c r="Q756" s="21"/>
      <c r="R756" s="21"/>
      <c r="S756" s="21"/>
      <c r="T756" s="21"/>
    </row>
    <row r="757" customFormat="false" ht="15.75" hidden="false" customHeight="true" outlineLevel="0" collapsed="false">
      <c r="D757" s="20"/>
      <c r="Q757" s="21"/>
      <c r="R757" s="21"/>
      <c r="S757" s="21"/>
      <c r="T757" s="21"/>
    </row>
    <row r="758" customFormat="false" ht="15.75" hidden="false" customHeight="true" outlineLevel="0" collapsed="false">
      <c r="D758" s="20"/>
      <c r="Q758" s="21"/>
      <c r="R758" s="21"/>
      <c r="S758" s="21"/>
      <c r="T758" s="21"/>
    </row>
    <row r="759" customFormat="false" ht="15.75" hidden="false" customHeight="true" outlineLevel="0" collapsed="false">
      <c r="D759" s="20"/>
      <c r="Q759" s="21"/>
      <c r="R759" s="21"/>
      <c r="S759" s="21"/>
      <c r="T759" s="21"/>
    </row>
    <row r="760" customFormat="false" ht="15.75" hidden="false" customHeight="true" outlineLevel="0" collapsed="false">
      <c r="D760" s="20"/>
      <c r="Q760" s="21"/>
      <c r="R760" s="21"/>
      <c r="S760" s="21"/>
      <c r="T760" s="21"/>
    </row>
    <row r="761" customFormat="false" ht="15.75" hidden="false" customHeight="true" outlineLevel="0" collapsed="false">
      <c r="D761" s="20"/>
      <c r="Q761" s="21"/>
      <c r="R761" s="21"/>
      <c r="S761" s="21"/>
      <c r="T761" s="21"/>
    </row>
    <row r="762" customFormat="false" ht="15.75" hidden="false" customHeight="true" outlineLevel="0" collapsed="false">
      <c r="D762" s="20"/>
      <c r="Q762" s="21"/>
      <c r="R762" s="21"/>
      <c r="S762" s="21"/>
      <c r="T762" s="21"/>
    </row>
    <row r="763" customFormat="false" ht="15.75" hidden="false" customHeight="true" outlineLevel="0" collapsed="false">
      <c r="D763" s="20"/>
      <c r="Q763" s="21"/>
      <c r="R763" s="21"/>
      <c r="S763" s="21"/>
      <c r="T763" s="21"/>
    </row>
    <row r="764" customFormat="false" ht="15.75" hidden="false" customHeight="true" outlineLevel="0" collapsed="false">
      <c r="D764" s="20"/>
      <c r="Q764" s="21"/>
      <c r="R764" s="21"/>
      <c r="S764" s="21"/>
      <c r="T764" s="21"/>
    </row>
    <row r="765" customFormat="false" ht="15.75" hidden="false" customHeight="true" outlineLevel="0" collapsed="false">
      <c r="D765" s="20"/>
      <c r="Q765" s="21"/>
      <c r="R765" s="21"/>
      <c r="S765" s="21"/>
      <c r="T765" s="21"/>
    </row>
    <row r="766" customFormat="false" ht="15.75" hidden="false" customHeight="true" outlineLevel="0" collapsed="false">
      <c r="D766" s="20"/>
      <c r="Q766" s="21"/>
      <c r="R766" s="21"/>
      <c r="S766" s="21"/>
      <c r="T766" s="21"/>
    </row>
    <row r="767" customFormat="false" ht="15.75" hidden="false" customHeight="true" outlineLevel="0" collapsed="false">
      <c r="D767" s="20"/>
      <c r="Q767" s="21"/>
      <c r="R767" s="21"/>
      <c r="S767" s="21"/>
      <c r="T767" s="21"/>
    </row>
    <row r="768" customFormat="false" ht="15.75" hidden="false" customHeight="true" outlineLevel="0" collapsed="false">
      <c r="D768" s="20"/>
      <c r="Q768" s="21"/>
      <c r="R768" s="21"/>
      <c r="S768" s="21"/>
      <c r="T768" s="21"/>
    </row>
    <row r="769" customFormat="false" ht="15.75" hidden="false" customHeight="true" outlineLevel="0" collapsed="false">
      <c r="D769" s="20"/>
      <c r="Q769" s="21"/>
      <c r="R769" s="21"/>
      <c r="S769" s="21"/>
      <c r="T769" s="21"/>
    </row>
    <row r="770" customFormat="false" ht="15.75" hidden="false" customHeight="true" outlineLevel="0" collapsed="false">
      <c r="D770" s="20"/>
      <c r="Q770" s="21"/>
      <c r="R770" s="21"/>
      <c r="S770" s="21"/>
      <c r="T770" s="21"/>
    </row>
    <row r="771" customFormat="false" ht="15.75" hidden="false" customHeight="true" outlineLevel="0" collapsed="false">
      <c r="D771" s="20"/>
      <c r="Q771" s="21"/>
      <c r="R771" s="21"/>
      <c r="S771" s="21"/>
      <c r="T771" s="21"/>
    </row>
    <row r="772" customFormat="false" ht="15.75" hidden="false" customHeight="true" outlineLevel="0" collapsed="false">
      <c r="D772" s="20"/>
      <c r="Q772" s="21"/>
      <c r="R772" s="21"/>
      <c r="S772" s="21"/>
      <c r="T772" s="21"/>
    </row>
    <row r="773" customFormat="false" ht="15.75" hidden="false" customHeight="true" outlineLevel="0" collapsed="false">
      <c r="D773" s="20"/>
      <c r="Q773" s="21"/>
      <c r="R773" s="21"/>
      <c r="S773" s="21"/>
      <c r="T773" s="21"/>
    </row>
    <row r="774" customFormat="false" ht="15.75" hidden="false" customHeight="true" outlineLevel="0" collapsed="false">
      <c r="D774" s="20"/>
      <c r="Q774" s="21"/>
      <c r="R774" s="21"/>
      <c r="S774" s="21"/>
      <c r="T774" s="21"/>
    </row>
    <row r="775" customFormat="false" ht="15.75" hidden="false" customHeight="true" outlineLevel="0" collapsed="false">
      <c r="D775" s="20"/>
      <c r="Q775" s="21"/>
      <c r="R775" s="21"/>
      <c r="S775" s="21"/>
      <c r="T775" s="21"/>
    </row>
    <row r="776" customFormat="false" ht="15.75" hidden="false" customHeight="true" outlineLevel="0" collapsed="false">
      <c r="D776" s="20"/>
      <c r="Q776" s="21"/>
      <c r="R776" s="21"/>
      <c r="S776" s="21"/>
      <c r="T776" s="21"/>
    </row>
    <row r="777" customFormat="false" ht="15.75" hidden="false" customHeight="true" outlineLevel="0" collapsed="false">
      <c r="D777" s="20"/>
      <c r="Q777" s="21"/>
      <c r="R777" s="21"/>
      <c r="S777" s="21"/>
      <c r="T777" s="21"/>
    </row>
    <row r="778" customFormat="false" ht="15.75" hidden="false" customHeight="true" outlineLevel="0" collapsed="false">
      <c r="D778" s="20"/>
      <c r="Q778" s="21"/>
      <c r="R778" s="21"/>
      <c r="S778" s="21"/>
      <c r="T778" s="21"/>
    </row>
    <row r="779" customFormat="false" ht="15.75" hidden="false" customHeight="true" outlineLevel="0" collapsed="false">
      <c r="D779" s="20"/>
      <c r="Q779" s="21"/>
      <c r="R779" s="21"/>
      <c r="S779" s="21"/>
      <c r="T779" s="21"/>
    </row>
    <row r="780" customFormat="false" ht="15.75" hidden="false" customHeight="true" outlineLevel="0" collapsed="false">
      <c r="D780" s="20"/>
      <c r="Q780" s="21"/>
      <c r="R780" s="21"/>
      <c r="S780" s="21"/>
      <c r="T780" s="21"/>
    </row>
    <row r="781" customFormat="false" ht="15.75" hidden="false" customHeight="true" outlineLevel="0" collapsed="false">
      <c r="D781" s="20"/>
      <c r="Q781" s="21"/>
      <c r="R781" s="21"/>
      <c r="S781" s="21"/>
      <c r="T781" s="21"/>
    </row>
    <row r="782" customFormat="false" ht="15.75" hidden="false" customHeight="true" outlineLevel="0" collapsed="false">
      <c r="D782" s="20"/>
      <c r="Q782" s="21"/>
      <c r="R782" s="21"/>
      <c r="S782" s="21"/>
      <c r="T782" s="21"/>
    </row>
    <row r="783" customFormat="false" ht="15.75" hidden="false" customHeight="true" outlineLevel="0" collapsed="false">
      <c r="D783" s="20"/>
      <c r="Q783" s="21"/>
      <c r="R783" s="21"/>
      <c r="S783" s="21"/>
      <c r="T783" s="21"/>
    </row>
    <row r="784" customFormat="false" ht="15.75" hidden="false" customHeight="true" outlineLevel="0" collapsed="false">
      <c r="D784" s="20"/>
      <c r="Q784" s="21"/>
      <c r="R784" s="21"/>
      <c r="S784" s="21"/>
      <c r="T784" s="21"/>
    </row>
    <row r="785" customFormat="false" ht="15.75" hidden="false" customHeight="true" outlineLevel="0" collapsed="false">
      <c r="D785" s="20"/>
      <c r="Q785" s="21"/>
      <c r="R785" s="21"/>
      <c r="S785" s="21"/>
      <c r="T785" s="21"/>
    </row>
    <row r="786" customFormat="false" ht="15.75" hidden="false" customHeight="true" outlineLevel="0" collapsed="false">
      <c r="D786" s="20"/>
      <c r="Q786" s="21"/>
      <c r="R786" s="21"/>
      <c r="S786" s="21"/>
      <c r="T786" s="21"/>
    </row>
    <row r="787" customFormat="false" ht="15.75" hidden="false" customHeight="true" outlineLevel="0" collapsed="false">
      <c r="D787" s="20"/>
      <c r="Q787" s="21"/>
      <c r="R787" s="21"/>
      <c r="S787" s="21"/>
      <c r="T787" s="21"/>
    </row>
    <row r="788" customFormat="false" ht="15.75" hidden="false" customHeight="true" outlineLevel="0" collapsed="false">
      <c r="D788" s="20"/>
      <c r="Q788" s="21"/>
      <c r="R788" s="21"/>
      <c r="S788" s="21"/>
      <c r="T788" s="21"/>
    </row>
    <row r="789" customFormat="false" ht="15.75" hidden="false" customHeight="true" outlineLevel="0" collapsed="false">
      <c r="D789" s="20"/>
      <c r="Q789" s="21"/>
      <c r="R789" s="21"/>
      <c r="S789" s="21"/>
      <c r="T789" s="21"/>
    </row>
    <row r="790" customFormat="false" ht="15.75" hidden="false" customHeight="true" outlineLevel="0" collapsed="false">
      <c r="D790" s="20"/>
      <c r="Q790" s="21"/>
      <c r="R790" s="21"/>
      <c r="S790" s="21"/>
      <c r="T790" s="21"/>
    </row>
    <row r="791" customFormat="false" ht="15.75" hidden="false" customHeight="true" outlineLevel="0" collapsed="false">
      <c r="D791" s="20"/>
      <c r="Q791" s="21"/>
      <c r="R791" s="21"/>
      <c r="S791" s="21"/>
      <c r="T791" s="21"/>
    </row>
    <row r="792" customFormat="false" ht="15.75" hidden="false" customHeight="true" outlineLevel="0" collapsed="false">
      <c r="D792" s="20"/>
      <c r="Q792" s="21"/>
      <c r="R792" s="21"/>
      <c r="S792" s="21"/>
      <c r="T792" s="21"/>
    </row>
    <row r="793" customFormat="false" ht="15.75" hidden="false" customHeight="true" outlineLevel="0" collapsed="false">
      <c r="D793" s="20"/>
      <c r="Q793" s="21"/>
      <c r="R793" s="21"/>
      <c r="S793" s="21"/>
      <c r="T793" s="21"/>
    </row>
    <row r="794" customFormat="false" ht="15.75" hidden="false" customHeight="true" outlineLevel="0" collapsed="false">
      <c r="D794" s="20"/>
      <c r="Q794" s="21"/>
      <c r="R794" s="21"/>
      <c r="S794" s="21"/>
      <c r="T794" s="21"/>
    </row>
    <row r="795" customFormat="false" ht="15.75" hidden="false" customHeight="true" outlineLevel="0" collapsed="false">
      <c r="D795" s="20"/>
      <c r="Q795" s="21"/>
      <c r="R795" s="21"/>
      <c r="S795" s="21"/>
      <c r="T795" s="21"/>
    </row>
    <row r="796" customFormat="false" ht="15.75" hidden="false" customHeight="true" outlineLevel="0" collapsed="false">
      <c r="D796" s="20"/>
      <c r="Q796" s="21"/>
      <c r="R796" s="21"/>
      <c r="S796" s="21"/>
      <c r="T796" s="21"/>
    </row>
    <row r="797" customFormat="false" ht="15.75" hidden="false" customHeight="true" outlineLevel="0" collapsed="false">
      <c r="D797" s="20"/>
      <c r="Q797" s="21"/>
      <c r="R797" s="21"/>
      <c r="S797" s="21"/>
      <c r="T797" s="21"/>
    </row>
    <row r="798" customFormat="false" ht="15.75" hidden="false" customHeight="true" outlineLevel="0" collapsed="false">
      <c r="D798" s="20"/>
      <c r="Q798" s="21"/>
      <c r="R798" s="21"/>
      <c r="S798" s="21"/>
      <c r="T798" s="21"/>
    </row>
    <row r="799" customFormat="false" ht="15.75" hidden="false" customHeight="true" outlineLevel="0" collapsed="false">
      <c r="D799" s="20"/>
      <c r="Q799" s="21"/>
      <c r="R799" s="21"/>
      <c r="S799" s="21"/>
      <c r="T799" s="21"/>
    </row>
    <row r="800" customFormat="false" ht="15.75" hidden="false" customHeight="true" outlineLevel="0" collapsed="false">
      <c r="D800" s="20"/>
      <c r="Q800" s="21"/>
      <c r="R800" s="21"/>
      <c r="S800" s="21"/>
      <c r="T800" s="21"/>
    </row>
    <row r="801" customFormat="false" ht="15.75" hidden="false" customHeight="true" outlineLevel="0" collapsed="false">
      <c r="D801" s="20"/>
      <c r="Q801" s="21"/>
      <c r="R801" s="21"/>
      <c r="S801" s="21"/>
      <c r="T801" s="21"/>
    </row>
    <row r="802" customFormat="false" ht="15.75" hidden="false" customHeight="true" outlineLevel="0" collapsed="false">
      <c r="D802" s="20"/>
      <c r="Q802" s="21"/>
      <c r="R802" s="21"/>
      <c r="S802" s="21"/>
      <c r="T802" s="21"/>
    </row>
    <row r="803" customFormat="false" ht="15.75" hidden="false" customHeight="true" outlineLevel="0" collapsed="false">
      <c r="D803" s="20"/>
      <c r="Q803" s="21"/>
      <c r="R803" s="21"/>
      <c r="S803" s="21"/>
      <c r="T803" s="21"/>
    </row>
    <row r="804" customFormat="false" ht="15.75" hidden="false" customHeight="true" outlineLevel="0" collapsed="false">
      <c r="D804" s="20"/>
      <c r="Q804" s="21"/>
      <c r="R804" s="21"/>
      <c r="S804" s="21"/>
      <c r="T804" s="21"/>
    </row>
    <row r="805" customFormat="false" ht="15.75" hidden="false" customHeight="true" outlineLevel="0" collapsed="false">
      <c r="D805" s="20"/>
      <c r="Q805" s="21"/>
      <c r="R805" s="21"/>
      <c r="S805" s="21"/>
      <c r="T805" s="21"/>
    </row>
    <row r="806" customFormat="false" ht="15.75" hidden="false" customHeight="true" outlineLevel="0" collapsed="false">
      <c r="D806" s="20"/>
      <c r="Q806" s="21"/>
      <c r="R806" s="21"/>
      <c r="S806" s="21"/>
      <c r="T806" s="21"/>
    </row>
    <row r="807" customFormat="false" ht="15.75" hidden="false" customHeight="true" outlineLevel="0" collapsed="false">
      <c r="D807" s="20"/>
      <c r="Q807" s="21"/>
      <c r="R807" s="21"/>
      <c r="S807" s="21"/>
      <c r="T807" s="21"/>
    </row>
    <row r="808" customFormat="false" ht="15.75" hidden="false" customHeight="true" outlineLevel="0" collapsed="false">
      <c r="D808" s="20"/>
      <c r="Q808" s="21"/>
      <c r="R808" s="21"/>
      <c r="S808" s="21"/>
      <c r="T808" s="21"/>
    </row>
    <row r="809" customFormat="false" ht="15.75" hidden="false" customHeight="true" outlineLevel="0" collapsed="false">
      <c r="D809" s="20"/>
      <c r="Q809" s="21"/>
      <c r="R809" s="21"/>
      <c r="S809" s="21"/>
      <c r="T809" s="21"/>
    </row>
    <row r="810" customFormat="false" ht="15.75" hidden="false" customHeight="true" outlineLevel="0" collapsed="false">
      <c r="D810" s="20"/>
      <c r="Q810" s="21"/>
      <c r="R810" s="21"/>
      <c r="S810" s="21"/>
      <c r="T810" s="21"/>
    </row>
    <row r="811" customFormat="false" ht="15.75" hidden="false" customHeight="true" outlineLevel="0" collapsed="false">
      <c r="D811" s="20"/>
      <c r="Q811" s="21"/>
      <c r="R811" s="21"/>
      <c r="S811" s="21"/>
      <c r="T811" s="21"/>
    </row>
    <row r="812" customFormat="false" ht="15.75" hidden="false" customHeight="true" outlineLevel="0" collapsed="false">
      <c r="D812" s="20"/>
      <c r="Q812" s="21"/>
      <c r="R812" s="21"/>
      <c r="S812" s="21"/>
      <c r="T812" s="21"/>
    </row>
    <row r="813" customFormat="false" ht="15.75" hidden="false" customHeight="true" outlineLevel="0" collapsed="false">
      <c r="D813" s="20"/>
      <c r="Q813" s="21"/>
      <c r="R813" s="21"/>
      <c r="S813" s="21"/>
      <c r="T813" s="21"/>
    </row>
    <row r="814" customFormat="false" ht="15.75" hidden="false" customHeight="true" outlineLevel="0" collapsed="false">
      <c r="D814" s="20"/>
      <c r="Q814" s="21"/>
      <c r="R814" s="21"/>
      <c r="S814" s="21"/>
      <c r="T814" s="21"/>
    </row>
    <row r="815" customFormat="false" ht="15.75" hidden="false" customHeight="true" outlineLevel="0" collapsed="false">
      <c r="D815" s="20"/>
      <c r="Q815" s="21"/>
      <c r="R815" s="21"/>
      <c r="S815" s="21"/>
      <c r="T815" s="21"/>
    </row>
    <row r="816" customFormat="false" ht="15.75" hidden="false" customHeight="true" outlineLevel="0" collapsed="false">
      <c r="D816" s="20"/>
      <c r="Q816" s="21"/>
      <c r="R816" s="21"/>
      <c r="S816" s="21"/>
      <c r="T816" s="21"/>
    </row>
    <row r="817" customFormat="false" ht="15.75" hidden="false" customHeight="true" outlineLevel="0" collapsed="false">
      <c r="D817" s="20"/>
      <c r="Q817" s="21"/>
      <c r="R817" s="21"/>
      <c r="S817" s="21"/>
      <c r="T817" s="21"/>
    </row>
    <row r="818" customFormat="false" ht="15.75" hidden="false" customHeight="true" outlineLevel="0" collapsed="false">
      <c r="D818" s="20"/>
      <c r="Q818" s="21"/>
      <c r="R818" s="21"/>
      <c r="S818" s="21"/>
      <c r="T818" s="21"/>
    </row>
    <row r="819" customFormat="false" ht="15.75" hidden="false" customHeight="true" outlineLevel="0" collapsed="false">
      <c r="D819" s="20"/>
      <c r="Q819" s="21"/>
      <c r="R819" s="21"/>
      <c r="S819" s="21"/>
      <c r="T819" s="21"/>
    </row>
    <row r="820" customFormat="false" ht="15.75" hidden="false" customHeight="true" outlineLevel="0" collapsed="false">
      <c r="D820" s="20"/>
      <c r="Q820" s="21"/>
      <c r="R820" s="21"/>
      <c r="S820" s="21"/>
      <c r="T820" s="21"/>
    </row>
    <row r="821" customFormat="false" ht="15.75" hidden="false" customHeight="true" outlineLevel="0" collapsed="false">
      <c r="D821" s="20"/>
      <c r="Q821" s="21"/>
      <c r="R821" s="21"/>
      <c r="S821" s="21"/>
      <c r="T821" s="21"/>
    </row>
    <row r="822" customFormat="false" ht="15.75" hidden="false" customHeight="true" outlineLevel="0" collapsed="false">
      <c r="D822" s="20"/>
      <c r="Q822" s="21"/>
      <c r="R822" s="21"/>
      <c r="S822" s="21"/>
      <c r="T822" s="21"/>
    </row>
    <row r="823" customFormat="false" ht="15.75" hidden="false" customHeight="true" outlineLevel="0" collapsed="false">
      <c r="D823" s="20"/>
      <c r="Q823" s="21"/>
      <c r="R823" s="21"/>
      <c r="S823" s="21"/>
      <c r="T823" s="21"/>
    </row>
    <row r="824" customFormat="false" ht="15.75" hidden="false" customHeight="true" outlineLevel="0" collapsed="false">
      <c r="D824" s="20"/>
      <c r="Q824" s="21"/>
      <c r="R824" s="21"/>
      <c r="S824" s="21"/>
      <c r="T824" s="21"/>
    </row>
    <row r="825" customFormat="false" ht="15.75" hidden="false" customHeight="true" outlineLevel="0" collapsed="false">
      <c r="D825" s="20"/>
      <c r="Q825" s="21"/>
      <c r="R825" s="21"/>
      <c r="S825" s="21"/>
      <c r="T825" s="21"/>
    </row>
    <row r="826" customFormat="false" ht="15.75" hidden="false" customHeight="true" outlineLevel="0" collapsed="false">
      <c r="D826" s="20"/>
      <c r="Q826" s="21"/>
      <c r="R826" s="21"/>
      <c r="S826" s="21"/>
      <c r="T826" s="21"/>
    </row>
    <row r="827" customFormat="false" ht="15.75" hidden="false" customHeight="true" outlineLevel="0" collapsed="false">
      <c r="D827" s="20"/>
      <c r="Q827" s="21"/>
      <c r="R827" s="21"/>
      <c r="S827" s="21"/>
      <c r="T827" s="21"/>
    </row>
    <row r="828" customFormat="false" ht="15.75" hidden="false" customHeight="true" outlineLevel="0" collapsed="false">
      <c r="D828" s="20"/>
      <c r="Q828" s="21"/>
      <c r="R828" s="21"/>
      <c r="S828" s="21"/>
      <c r="T828" s="21"/>
    </row>
    <row r="829" customFormat="false" ht="15.75" hidden="false" customHeight="true" outlineLevel="0" collapsed="false">
      <c r="D829" s="20"/>
      <c r="Q829" s="21"/>
      <c r="R829" s="21"/>
      <c r="S829" s="21"/>
      <c r="T829" s="21"/>
    </row>
    <row r="830" customFormat="false" ht="15.75" hidden="false" customHeight="true" outlineLevel="0" collapsed="false">
      <c r="D830" s="20"/>
      <c r="Q830" s="21"/>
      <c r="R830" s="21"/>
      <c r="S830" s="21"/>
      <c r="T830" s="21"/>
    </row>
    <row r="831" customFormat="false" ht="15.75" hidden="false" customHeight="true" outlineLevel="0" collapsed="false">
      <c r="D831" s="20"/>
      <c r="Q831" s="21"/>
      <c r="R831" s="21"/>
      <c r="S831" s="21"/>
      <c r="T831" s="21"/>
    </row>
    <row r="832" customFormat="false" ht="15.75" hidden="false" customHeight="true" outlineLevel="0" collapsed="false">
      <c r="D832" s="20"/>
      <c r="Q832" s="21"/>
      <c r="R832" s="21"/>
      <c r="S832" s="21"/>
      <c r="T832" s="21"/>
    </row>
    <row r="833" customFormat="false" ht="15.75" hidden="false" customHeight="true" outlineLevel="0" collapsed="false">
      <c r="D833" s="20"/>
      <c r="Q833" s="21"/>
      <c r="R833" s="21"/>
      <c r="S833" s="21"/>
      <c r="T833" s="21"/>
    </row>
    <row r="834" customFormat="false" ht="15.75" hidden="false" customHeight="true" outlineLevel="0" collapsed="false">
      <c r="D834" s="20"/>
      <c r="Q834" s="21"/>
      <c r="R834" s="21"/>
      <c r="S834" s="21"/>
      <c r="T834" s="21"/>
    </row>
    <row r="835" customFormat="false" ht="15.75" hidden="false" customHeight="true" outlineLevel="0" collapsed="false">
      <c r="D835" s="20"/>
      <c r="Q835" s="21"/>
      <c r="R835" s="21"/>
      <c r="S835" s="21"/>
      <c r="T835" s="21"/>
    </row>
    <row r="836" customFormat="false" ht="15.75" hidden="false" customHeight="true" outlineLevel="0" collapsed="false">
      <c r="D836" s="20"/>
      <c r="Q836" s="21"/>
      <c r="R836" s="21"/>
      <c r="S836" s="21"/>
      <c r="T836" s="21"/>
    </row>
    <row r="837" customFormat="false" ht="15.75" hidden="false" customHeight="true" outlineLevel="0" collapsed="false">
      <c r="D837" s="20"/>
      <c r="Q837" s="21"/>
      <c r="R837" s="21"/>
      <c r="S837" s="21"/>
      <c r="T837" s="21"/>
    </row>
    <row r="838" customFormat="false" ht="15.75" hidden="false" customHeight="true" outlineLevel="0" collapsed="false">
      <c r="D838" s="20"/>
      <c r="Q838" s="21"/>
      <c r="R838" s="21"/>
      <c r="S838" s="21"/>
      <c r="T838" s="21"/>
    </row>
    <row r="839" customFormat="false" ht="15.75" hidden="false" customHeight="true" outlineLevel="0" collapsed="false">
      <c r="D839" s="20"/>
      <c r="Q839" s="21"/>
      <c r="R839" s="21"/>
      <c r="S839" s="21"/>
      <c r="T839" s="21"/>
    </row>
    <row r="840" customFormat="false" ht="15.75" hidden="false" customHeight="true" outlineLevel="0" collapsed="false">
      <c r="D840" s="20"/>
      <c r="Q840" s="21"/>
      <c r="R840" s="21"/>
      <c r="S840" s="21"/>
      <c r="T840" s="21"/>
    </row>
    <row r="841" customFormat="false" ht="15.75" hidden="false" customHeight="true" outlineLevel="0" collapsed="false">
      <c r="D841" s="20"/>
      <c r="Q841" s="21"/>
      <c r="R841" s="21"/>
      <c r="S841" s="21"/>
      <c r="T841" s="21"/>
    </row>
    <row r="842" customFormat="false" ht="15.75" hidden="false" customHeight="true" outlineLevel="0" collapsed="false">
      <c r="D842" s="20"/>
      <c r="Q842" s="21"/>
      <c r="R842" s="21"/>
      <c r="S842" s="21"/>
      <c r="T842" s="21"/>
    </row>
    <row r="843" customFormat="false" ht="15.75" hidden="false" customHeight="true" outlineLevel="0" collapsed="false">
      <c r="D843" s="20"/>
      <c r="Q843" s="21"/>
      <c r="R843" s="21"/>
      <c r="S843" s="21"/>
      <c r="T843" s="21"/>
    </row>
    <row r="844" customFormat="false" ht="15.75" hidden="false" customHeight="true" outlineLevel="0" collapsed="false">
      <c r="D844" s="20"/>
      <c r="Q844" s="21"/>
      <c r="R844" s="21"/>
      <c r="S844" s="21"/>
      <c r="T844" s="21"/>
    </row>
    <row r="845" customFormat="false" ht="15.75" hidden="false" customHeight="true" outlineLevel="0" collapsed="false">
      <c r="D845" s="20"/>
      <c r="Q845" s="21"/>
      <c r="R845" s="21"/>
      <c r="S845" s="21"/>
      <c r="T845" s="21"/>
    </row>
    <row r="846" customFormat="false" ht="15.75" hidden="false" customHeight="true" outlineLevel="0" collapsed="false">
      <c r="D846" s="20"/>
      <c r="Q846" s="21"/>
      <c r="R846" s="21"/>
      <c r="S846" s="21"/>
      <c r="T846" s="21"/>
    </row>
    <row r="847" customFormat="false" ht="15.75" hidden="false" customHeight="true" outlineLevel="0" collapsed="false">
      <c r="D847" s="20"/>
      <c r="Q847" s="21"/>
      <c r="R847" s="21"/>
      <c r="S847" s="21"/>
      <c r="T847" s="21"/>
    </row>
    <row r="848" customFormat="false" ht="15.75" hidden="false" customHeight="true" outlineLevel="0" collapsed="false">
      <c r="D848" s="20"/>
      <c r="Q848" s="21"/>
      <c r="R848" s="21"/>
      <c r="S848" s="21"/>
      <c r="T848" s="21"/>
    </row>
    <row r="849" customFormat="false" ht="15.75" hidden="false" customHeight="true" outlineLevel="0" collapsed="false">
      <c r="D849" s="20"/>
      <c r="Q849" s="21"/>
      <c r="R849" s="21"/>
      <c r="S849" s="21"/>
      <c r="T849" s="21"/>
    </row>
    <row r="850" customFormat="false" ht="15.75" hidden="false" customHeight="true" outlineLevel="0" collapsed="false">
      <c r="D850" s="20"/>
      <c r="Q850" s="21"/>
      <c r="R850" s="21"/>
      <c r="S850" s="21"/>
      <c r="T850" s="21"/>
    </row>
    <row r="851" customFormat="false" ht="15.75" hidden="false" customHeight="true" outlineLevel="0" collapsed="false">
      <c r="D851" s="20"/>
      <c r="Q851" s="21"/>
      <c r="R851" s="21"/>
      <c r="S851" s="21"/>
      <c r="T851" s="21"/>
    </row>
    <row r="852" customFormat="false" ht="15.75" hidden="false" customHeight="true" outlineLevel="0" collapsed="false">
      <c r="D852" s="20"/>
      <c r="Q852" s="21"/>
      <c r="R852" s="21"/>
      <c r="S852" s="21"/>
      <c r="T852" s="21"/>
    </row>
    <row r="853" customFormat="false" ht="15.75" hidden="false" customHeight="true" outlineLevel="0" collapsed="false">
      <c r="D853" s="20"/>
      <c r="Q853" s="21"/>
      <c r="R853" s="21"/>
      <c r="S853" s="21"/>
      <c r="T853" s="21"/>
    </row>
    <row r="854" customFormat="false" ht="15.75" hidden="false" customHeight="true" outlineLevel="0" collapsed="false">
      <c r="D854" s="20"/>
      <c r="Q854" s="21"/>
      <c r="R854" s="21"/>
      <c r="S854" s="21"/>
      <c r="T854" s="21"/>
    </row>
    <row r="855" customFormat="false" ht="15.75" hidden="false" customHeight="true" outlineLevel="0" collapsed="false">
      <c r="D855" s="20"/>
      <c r="Q855" s="21"/>
      <c r="R855" s="21"/>
      <c r="S855" s="21"/>
      <c r="T855" s="21"/>
    </row>
    <row r="856" customFormat="false" ht="15.75" hidden="false" customHeight="true" outlineLevel="0" collapsed="false">
      <c r="D856" s="20"/>
      <c r="Q856" s="21"/>
      <c r="R856" s="21"/>
      <c r="S856" s="21"/>
      <c r="T856" s="21"/>
    </row>
    <row r="857" customFormat="false" ht="15.75" hidden="false" customHeight="true" outlineLevel="0" collapsed="false">
      <c r="D857" s="20"/>
      <c r="Q857" s="21"/>
      <c r="R857" s="21"/>
      <c r="S857" s="21"/>
      <c r="T857" s="21"/>
    </row>
    <row r="858" customFormat="false" ht="15.75" hidden="false" customHeight="true" outlineLevel="0" collapsed="false">
      <c r="D858" s="20"/>
      <c r="Q858" s="21"/>
      <c r="R858" s="21"/>
      <c r="S858" s="21"/>
      <c r="T858" s="21"/>
    </row>
    <row r="859" customFormat="false" ht="15.75" hidden="false" customHeight="true" outlineLevel="0" collapsed="false">
      <c r="D859" s="20"/>
      <c r="Q859" s="21"/>
      <c r="R859" s="21"/>
      <c r="S859" s="21"/>
      <c r="T859" s="21"/>
    </row>
    <row r="860" customFormat="false" ht="15.75" hidden="false" customHeight="true" outlineLevel="0" collapsed="false">
      <c r="D860" s="20"/>
      <c r="Q860" s="21"/>
      <c r="R860" s="21"/>
      <c r="S860" s="21"/>
      <c r="T860" s="21"/>
    </row>
    <row r="861" customFormat="false" ht="15.75" hidden="false" customHeight="true" outlineLevel="0" collapsed="false">
      <c r="D861" s="20"/>
      <c r="Q861" s="21"/>
      <c r="R861" s="21"/>
      <c r="S861" s="21"/>
      <c r="T861" s="21"/>
    </row>
    <row r="862" customFormat="false" ht="15.75" hidden="false" customHeight="true" outlineLevel="0" collapsed="false">
      <c r="D862" s="20"/>
      <c r="Q862" s="21"/>
      <c r="R862" s="21"/>
      <c r="S862" s="21"/>
      <c r="T862" s="21"/>
    </row>
    <row r="863" customFormat="false" ht="15.75" hidden="false" customHeight="true" outlineLevel="0" collapsed="false">
      <c r="D863" s="20"/>
      <c r="Q863" s="21"/>
      <c r="R863" s="21"/>
      <c r="S863" s="21"/>
      <c r="T863" s="21"/>
    </row>
    <row r="864" customFormat="false" ht="15.75" hidden="false" customHeight="true" outlineLevel="0" collapsed="false">
      <c r="D864" s="20"/>
      <c r="Q864" s="21"/>
      <c r="R864" s="21"/>
      <c r="S864" s="21"/>
      <c r="T864" s="21"/>
    </row>
    <row r="865" customFormat="false" ht="15.75" hidden="false" customHeight="true" outlineLevel="0" collapsed="false">
      <c r="D865" s="20"/>
      <c r="Q865" s="21"/>
      <c r="R865" s="21"/>
      <c r="S865" s="21"/>
      <c r="T865" s="21"/>
    </row>
    <row r="866" customFormat="false" ht="15.75" hidden="false" customHeight="true" outlineLevel="0" collapsed="false">
      <c r="D866" s="20"/>
      <c r="Q866" s="21"/>
      <c r="R866" s="21"/>
      <c r="S866" s="21"/>
      <c r="T866" s="21"/>
    </row>
    <row r="867" customFormat="false" ht="15.75" hidden="false" customHeight="true" outlineLevel="0" collapsed="false">
      <c r="D867" s="20"/>
      <c r="Q867" s="21"/>
      <c r="R867" s="21"/>
      <c r="S867" s="21"/>
      <c r="T867" s="21"/>
    </row>
    <row r="868" customFormat="false" ht="15.75" hidden="false" customHeight="true" outlineLevel="0" collapsed="false">
      <c r="D868" s="20"/>
      <c r="Q868" s="21"/>
      <c r="R868" s="21"/>
      <c r="S868" s="21"/>
      <c r="T868" s="21"/>
    </row>
    <row r="869" customFormat="false" ht="15.75" hidden="false" customHeight="true" outlineLevel="0" collapsed="false">
      <c r="D869" s="20"/>
      <c r="Q869" s="21"/>
      <c r="R869" s="21"/>
      <c r="S869" s="21"/>
      <c r="T869" s="21"/>
    </row>
    <row r="870" customFormat="false" ht="15.75" hidden="false" customHeight="true" outlineLevel="0" collapsed="false">
      <c r="D870" s="20"/>
      <c r="Q870" s="21"/>
      <c r="R870" s="21"/>
      <c r="S870" s="21"/>
      <c r="T870" s="21"/>
    </row>
    <row r="871" customFormat="false" ht="15.75" hidden="false" customHeight="true" outlineLevel="0" collapsed="false">
      <c r="D871" s="20"/>
      <c r="Q871" s="21"/>
      <c r="R871" s="21"/>
      <c r="S871" s="21"/>
      <c r="T871" s="21"/>
    </row>
    <row r="872" customFormat="false" ht="15.75" hidden="false" customHeight="true" outlineLevel="0" collapsed="false">
      <c r="D872" s="20"/>
      <c r="Q872" s="21"/>
      <c r="R872" s="21"/>
      <c r="S872" s="21"/>
      <c r="T872" s="21"/>
    </row>
    <row r="873" customFormat="false" ht="15.75" hidden="false" customHeight="true" outlineLevel="0" collapsed="false">
      <c r="D873" s="20"/>
      <c r="Q873" s="21"/>
      <c r="R873" s="21"/>
      <c r="S873" s="21"/>
      <c r="T873" s="21"/>
    </row>
    <row r="874" customFormat="false" ht="15.75" hidden="false" customHeight="true" outlineLevel="0" collapsed="false">
      <c r="D874" s="20"/>
      <c r="Q874" s="21"/>
      <c r="R874" s="21"/>
      <c r="S874" s="21"/>
      <c r="T874" s="21"/>
    </row>
    <row r="875" customFormat="false" ht="15.75" hidden="false" customHeight="true" outlineLevel="0" collapsed="false">
      <c r="D875" s="20"/>
      <c r="Q875" s="21"/>
      <c r="R875" s="21"/>
      <c r="S875" s="21"/>
      <c r="T875" s="21"/>
    </row>
    <row r="876" customFormat="false" ht="15.75" hidden="false" customHeight="true" outlineLevel="0" collapsed="false">
      <c r="D876" s="20"/>
      <c r="Q876" s="21"/>
      <c r="R876" s="21"/>
      <c r="S876" s="21"/>
      <c r="T876" s="21"/>
    </row>
    <row r="877" customFormat="false" ht="15.75" hidden="false" customHeight="true" outlineLevel="0" collapsed="false">
      <c r="D877" s="20"/>
      <c r="Q877" s="21"/>
      <c r="R877" s="21"/>
      <c r="S877" s="21"/>
      <c r="T877" s="21"/>
    </row>
    <row r="878" customFormat="false" ht="15.75" hidden="false" customHeight="true" outlineLevel="0" collapsed="false">
      <c r="D878" s="20"/>
      <c r="Q878" s="21"/>
      <c r="R878" s="21"/>
      <c r="S878" s="21"/>
      <c r="T878" s="21"/>
    </row>
    <row r="879" customFormat="false" ht="15.75" hidden="false" customHeight="true" outlineLevel="0" collapsed="false">
      <c r="D879" s="20"/>
      <c r="Q879" s="21"/>
      <c r="R879" s="21"/>
      <c r="S879" s="21"/>
      <c r="T879" s="21"/>
    </row>
    <row r="880" customFormat="false" ht="15.75" hidden="false" customHeight="true" outlineLevel="0" collapsed="false">
      <c r="D880" s="20"/>
      <c r="Q880" s="21"/>
      <c r="R880" s="21"/>
      <c r="S880" s="21"/>
      <c r="T880" s="21"/>
    </row>
    <row r="881" customFormat="false" ht="15.75" hidden="false" customHeight="true" outlineLevel="0" collapsed="false">
      <c r="D881" s="20"/>
      <c r="Q881" s="21"/>
      <c r="R881" s="21"/>
      <c r="S881" s="21"/>
      <c r="T881" s="21"/>
    </row>
    <row r="882" customFormat="false" ht="15.75" hidden="false" customHeight="true" outlineLevel="0" collapsed="false">
      <c r="D882" s="20"/>
      <c r="Q882" s="21"/>
      <c r="R882" s="21"/>
      <c r="S882" s="21"/>
      <c r="T882" s="21"/>
    </row>
    <row r="883" customFormat="false" ht="15.75" hidden="false" customHeight="true" outlineLevel="0" collapsed="false">
      <c r="D883" s="20"/>
      <c r="Q883" s="21"/>
      <c r="R883" s="21"/>
      <c r="S883" s="21"/>
      <c r="T883" s="21"/>
    </row>
    <row r="884" customFormat="false" ht="15.75" hidden="false" customHeight="true" outlineLevel="0" collapsed="false">
      <c r="D884" s="20"/>
      <c r="Q884" s="21"/>
      <c r="R884" s="21"/>
      <c r="S884" s="21"/>
      <c r="T884" s="21"/>
    </row>
    <row r="885" customFormat="false" ht="15.75" hidden="false" customHeight="true" outlineLevel="0" collapsed="false">
      <c r="D885" s="20"/>
      <c r="Q885" s="21"/>
      <c r="R885" s="21"/>
      <c r="S885" s="21"/>
      <c r="T885" s="21"/>
    </row>
    <row r="886" customFormat="false" ht="15.75" hidden="false" customHeight="true" outlineLevel="0" collapsed="false">
      <c r="D886" s="20"/>
      <c r="Q886" s="21"/>
      <c r="R886" s="21"/>
      <c r="S886" s="21"/>
      <c r="T886" s="21"/>
    </row>
    <row r="887" customFormat="false" ht="15.75" hidden="false" customHeight="true" outlineLevel="0" collapsed="false">
      <c r="D887" s="20"/>
      <c r="Q887" s="21"/>
      <c r="R887" s="21"/>
      <c r="S887" s="21"/>
      <c r="T887" s="21"/>
    </row>
    <row r="888" customFormat="false" ht="15.75" hidden="false" customHeight="true" outlineLevel="0" collapsed="false">
      <c r="D888" s="20"/>
      <c r="Q888" s="21"/>
      <c r="R888" s="21"/>
      <c r="S888" s="21"/>
      <c r="T888" s="21"/>
    </row>
    <row r="889" customFormat="false" ht="15.75" hidden="false" customHeight="true" outlineLevel="0" collapsed="false">
      <c r="D889" s="20"/>
      <c r="Q889" s="21"/>
      <c r="R889" s="21"/>
      <c r="S889" s="21"/>
      <c r="T889" s="21"/>
    </row>
    <row r="890" customFormat="false" ht="15.75" hidden="false" customHeight="true" outlineLevel="0" collapsed="false">
      <c r="D890" s="20"/>
      <c r="Q890" s="21"/>
      <c r="R890" s="21"/>
      <c r="S890" s="21"/>
      <c r="T890" s="21"/>
    </row>
    <row r="891" customFormat="false" ht="15.75" hidden="false" customHeight="true" outlineLevel="0" collapsed="false">
      <c r="D891" s="20"/>
      <c r="Q891" s="21"/>
      <c r="R891" s="21"/>
      <c r="S891" s="21"/>
      <c r="T891" s="21"/>
    </row>
    <row r="892" customFormat="false" ht="15.75" hidden="false" customHeight="true" outlineLevel="0" collapsed="false">
      <c r="D892" s="20"/>
      <c r="Q892" s="21"/>
      <c r="R892" s="21"/>
      <c r="S892" s="21"/>
      <c r="T892" s="21"/>
    </row>
    <row r="893" customFormat="false" ht="15.75" hidden="false" customHeight="true" outlineLevel="0" collapsed="false">
      <c r="D893" s="20"/>
      <c r="Q893" s="21"/>
      <c r="R893" s="21"/>
      <c r="S893" s="21"/>
      <c r="T893" s="21"/>
    </row>
    <row r="894" customFormat="false" ht="15.75" hidden="false" customHeight="true" outlineLevel="0" collapsed="false">
      <c r="D894" s="20"/>
      <c r="Q894" s="21"/>
      <c r="R894" s="21"/>
      <c r="S894" s="21"/>
      <c r="T894" s="21"/>
    </row>
    <row r="895" customFormat="false" ht="15.75" hidden="false" customHeight="true" outlineLevel="0" collapsed="false">
      <c r="D895" s="20"/>
      <c r="Q895" s="21"/>
      <c r="R895" s="21"/>
      <c r="S895" s="21"/>
      <c r="T895" s="21"/>
    </row>
    <row r="896" customFormat="false" ht="15.75" hidden="false" customHeight="true" outlineLevel="0" collapsed="false">
      <c r="D896" s="20"/>
      <c r="Q896" s="21"/>
      <c r="R896" s="21"/>
      <c r="S896" s="21"/>
      <c r="T896" s="21"/>
    </row>
    <row r="897" customFormat="false" ht="15.75" hidden="false" customHeight="true" outlineLevel="0" collapsed="false">
      <c r="D897" s="20"/>
      <c r="Q897" s="21"/>
      <c r="R897" s="21"/>
      <c r="S897" s="21"/>
      <c r="T897" s="21"/>
    </row>
    <row r="898" customFormat="false" ht="15.75" hidden="false" customHeight="true" outlineLevel="0" collapsed="false">
      <c r="D898" s="20"/>
      <c r="Q898" s="21"/>
      <c r="R898" s="21"/>
      <c r="S898" s="21"/>
      <c r="T898" s="21"/>
    </row>
    <row r="899" customFormat="false" ht="15.75" hidden="false" customHeight="true" outlineLevel="0" collapsed="false">
      <c r="D899" s="20"/>
      <c r="Q899" s="21"/>
      <c r="R899" s="21"/>
      <c r="S899" s="21"/>
      <c r="T899" s="21"/>
    </row>
    <row r="900" customFormat="false" ht="15.75" hidden="false" customHeight="true" outlineLevel="0" collapsed="false">
      <c r="D900" s="20"/>
      <c r="Q900" s="21"/>
      <c r="R900" s="21"/>
      <c r="S900" s="21"/>
      <c r="T900" s="21"/>
    </row>
    <row r="901" customFormat="false" ht="15.75" hidden="false" customHeight="true" outlineLevel="0" collapsed="false">
      <c r="D901" s="20"/>
      <c r="Q901" s="21"/>
      <c r="R901" s="21"/>
      <c r="S901" s="21"/>
      <c r="T901" s="21"/>
    </row>
    <row r="902" customFormat="false" ht="15.75" hidden="false" customHeight="true" outlineLevel="0" collapsed="false">
      <c r="D902" s="20"/>
      <c r="Q902" s="21"/>
      <c r="R902" s="21"/>
      <c r="S902" s="21"/>
      <c r="T902" s="21"/>
    </row>
    <row r="903" customFormat="false" ht="15.75" hidden="false" customHeight="true" outlineLevel="0" collapsed="false">
      <c r="D903" s="20"/>
      <c r="Q903" s="21"/>
      <c r="R903" s="21"/>
      <c r="S903" s="21"/>
      <c r="T903" s="21"/>
    </row>
    <row r="904" customFormat="false" ht="15.75" hidden="false" customHeight="true" outlineLevel="0" collapsed="false">
      <c r="D904" s="20"/>
      <c r="Q904" s="21"/>
      <c r="R904" s="21"/>
      <c r="S904" s="21"/>
      <c r="T904" s="21"/>
    </row>
    <row r="905" customFormat="false" ht="15.75" hidden="false" customHeight="true" outlineLevel="0" collapsed="false">
      <c r="D905" s="20"/>
      <c r="Q905" s="21"/>
      <c r="R905" s="21"/>
      <c r="S905" s="21"/>
      <c r="T905" s="21"/>
    </row>
    <row r="906" customFormat="false" ht="15.75" hidden="false" customHeight="true" outlineLevel="0" collapsed="false">
      <c r="D906" s="20"/>
      <c r="Q906" s="21"/>
      <c r="R906" s="21"/>
      <c r="S906" s="21"/>
      <c r="T906" s="21"/>
    </row>
    <row r="907" customFormat="false" ht="15.75" hidden="false" customHeight="true" outlineLevel="0" collapsed="false">
      <c r="D907" s="20"/>
      <c r="Q907" s="21"/>
      <c r="R907" s="21"/>
      <c r="S907" s="21"/>
      <c r="T907" s="21"/>
    </row>
    <row r="908" customFormat="false" ht="15.75" hidden="false" customHeight="true" outlineLevel="0" collapsed="false">
      <c r="D908" s="20"/>
      <c r="Q908" s="21"/>
      <c r="R908" s="21"/>
      <c r="S908" s="21"/>
      <c r="T908" s="21"/>
    </row>
    <row r="909" customFormat="false" ht="15.75" hidden="false" customHeight="true" outlineLevel="0" collapsed="false">
      <c r="D909" s="20"/>
      <c r="Q909" s="21"/>
      <c r="R909" s="21"/>
      <c r="S909" s="21"/>
      <c r="T909" s="21"/>
    </row>
    <row r="910" customFormat="false" ht="15.75" hidden="false" customHeight="true" outlineLevel="0" collapsed="false">
      <c r="D910" s="20"/>
      <c r="Q910" s="21"/>
      <c r="R910" s="21"/>
      <c r="S910" s="21"/>
      <c r="T910" s="21"/>
    </row>
    <row r="911" customFormat="false" ht="15.75" hidden="false" customHeight="true" outlineLevel="0" collapsed="false">
      <c r="D911" s="20"/>
      <c r="Q911" s="21"/>
      <c r="R911" s="21"/>
      <c r="S911" s="21"/>
      <c r="T911" s="21"/>
    </row>
    <row r="912" customFormat="false" ht="15.75" hidden="false" customHeight="true" outlineLevel="0" collapsed="false">
      <c r="D912" s="20"/>
      <c r="Q912" s="21"/>
      <c r="R912" s="21"/>
      <c r="S912" s="21"/>
      <c r="T912" s="21"/>
    </row>
    <row r="913" customFormat="false" ht="15.75" hidden="false" customHeight="true" outlineLevel="0" collapsed="false">
      <c r="D913" s="20"/>
      <c r="Q913" s="21"/>
      <c r="R913" s="21"/>
      <c r="S913" s="21"/>
      <c r="T913" s="21"/>
    </row>
    <row r="914" customFormat="false" ht="15.75" hidden="false" customHeight="true" outlineLevel="0" collapsed="false">
      <c r="D914" s="20"/>
      <c r="Q914" s="21"/>
      <c r="R914" s="21"/>
      <c r="S914" s="21"/>
      <c r="T914" s="21"/>
    </row>
    <row r="915" customFormat="false" ht="15.75" hidden="false" customHeight="true" outlineLevel="0" collapsed="false">
      <c r="D915" s="20"/>
      <c r="Q915" s="21"/>
      <c r="R915" s="21"/>
      <c r="S915" s="21"/>
      <c r="T915" s="21"/>
    </row>
    <row r="916" customFormat="false" ht="15.75" hidden="false" customHeight="true" outlineLevel="0" collapsed="false">
      <c r="D916" s="20"/>
      <c r="Q916" s="21"/>
      <c r="R916" s="21"/>
      <c r="S916" s="21"/>
      <c r="T916" s="21"/>
    </row>
    <row r="917" customFormat="false" ht="15.75" hidden="false" customHeight="true" outlineLevel="0" collapsed="false">
      <c r="D917" s="20"/>
      <c r="Q917" s="21"/>
      <c r="R917" s="21"/>
      <c r="S917" s="21"/>
      <c r="T917" s="21"/>
    </row>
    <row r="918" customFormat="false" ht="15.75" hidden="false" customHeight="true" outlineLevel="0" collapsed="false">
      <c r="D918" s="20"/>
      <c r="Q918" s="21"/>
      <c r="R918" s="21"/>
      <c r="S918" s="21"/>
      <c r="T918" s="21"/>
    </row>
    <row r="919" customFormat="false" ht="15.75" hidden="false" customHeight="true" outlineLevel="0" collapsed="false">
      <c r="D919" s="20"/>
      <c r="Q919" s="21"/>
      <c r="R919" s="21"/>
      <c r="S919" s="21"/>
      <c r="T919" s="21"/>
    </row>
    <row r="920" customFormat="false" ht="15.75" hidden="false" customHeight="true" outlineLevel="0" collapsed="false">
      <c r="D920" s="20"/>
      <c r="Q920" s="21"/>
      <c r="R920" s="21"/>
      <c r="S920" s="21"/>
      <c r="T920" s="21"/>
    </row>
    <row r="921" customFormat="false" ht="15.75" hidden="false" customHeight="true" outlineLevel="0" collapsed="false">
      <c r="D921" s="20"/>
      <c r="Q921" s="21"/>
      <c r="R921" s="21"/>
      <c r="S921" s="21"/>
      <c r="T921" s="21"/>
    </row>
    <row r="922" customFormat="false" ht="15.75" hidden="false" customHeight="true" outlineLevel="0" collapsed="false">
      <c r="D922" s="20"/>
      <c r="Q922" s="21"/>
      <c r="R922" s="21"/>
      <c r="S922" s="21"/>
      <c r="T922" s="21"/>
    </row>
    <row r="923" customFormat="false" ht="15.75" hidden="false" customHeight="true" outlineLevel="0" collapsed="false">
      <c r="D923" s="20"/>
      <c r="Q923" s="21"/>
      <c r="R923" s="21"/>
      <c r="S923" s="21"/>
      <c r="T923" s="21"/>
    </row>
    <row r="924" customFormat="false" ht="15.75" hidden="false" customHeight="true" outlineLevel="0" collapsed="false">
      <c r="D924" s="20"/>
      <c r="Q924" s="21"/>
      <c r="R924" s="21"/>
      <c r="S924" s="21"/>
      <c r="T924" s="21"/>
    </row>
    <row r="925" customFormat="false" ht="15.75" hidden="false" customHeight="true" outlineLevel="0" collapsed="false">
      <c r="D925" s="20"/>
      <c r="Q925" s="21"/>
      <c r="R925" s="21"/>
      <c r="S925" s="21"/>
      <c r="T925" s="21"/>
    </row>
    <row r="926" customFormat="false" ht="15.75" hidden="false" customHeight="true" outlineLevel="0" collapsed="false">
      <c r="D926" s="20"/>
      <c r="Q926" s="21"/>
      <c r="R926" s="21"/>
      <c r="S926" s="21"/>
      <c r="T926" s="21"/>
    </row>
    <row r="927" customFormat="false" ht="15.75" hidden="false" customHeight="true" outlineLevel="0" collapsed="false">
      <c r="D927" s="20"/>
      <c r="Q927" s="21"/>
      <c r="R927" s="21"/>
      <c r="S927" s="21"/>
      <c r="T927" s="21"/>
    </row>
    <row r="928" customFormat="false" ht="15.75" hidden="false" customHeight="true" outlineLevel="0" collapsed="false">
      <c r="D928" s="20"/>
      <c r="Q928" s="21"/>
      <c r="R928" s="21"/>
      <c r="S928" s="21"/>
      <c r="T928" s="21"/>
    </row>
    <row r="929" customFormat="false" ht="15.75" hidden="false" customHeight="true" outlineLevel="0" collapsed="false">
      <c r="D929" s="20"/>
      <c r="Q929" s="21"/>
      <c r="R929" s="21"/>
      <c r="S929" s="21"/>
      <c r="T929" s="21"/>
    </row>
    <row r="930" customFormat="false" ht="15.75" hidden="false" customHeight="true" outlineLevel="0" collapsed="false">
      <c r="D930" s="20"/>
      <c r="Q930" s="21"/>
      <c r="R930" s="21"/>
      <c r="S930" s="21"/>
      <c r="T930" s="21"/>
    </row>
    <row r="931" customFormat="false" ht="15.75" hidden="false" customHeight="true" outlineLevel="0" collapsed="false">
      <c r="D931" s="20"/>
      <c r="Q931" s="21"/>
      <c r="R931" s="21"/>
      <c r="S931" s="21"/>
      <c r="T931" s="21"/>
    </row>
    <row r="932" customFormat="false" ht="15.75" hidden="false" customHeight="true" outlineLevel="0" collapsed="false">
      <c r="D932" s="20"/>
      <c r="Q932" s="21"/>
      <c r="R932" s="21"/>
      <c r="S932" s="21"/>
      <c r="T932" s="21"/>
    </row>
    <row r="933" customFormat="false" ht="15.75" hidden="false" customHeight="true" outlineLevel="0" collapsed="false">
      <c r="D933" s="20"/>
      <c r="Q933" s="21"/>
      <c r="R933" s="21"/>
      <c r="S933" s="21"/>
      <c r="T933" s="21"/>
    </row>
    <row r="934" customFormat="false" ht="15.75" hidden="false" customHeight="true" outlineLevel="0" collapsed="false">
      <c r="D934" s="20"/>
      <c r="Q934" s="21"/>
      <c r="R934" s="21"/>
      <c r="S934" s="21"/>
      <c r="T934" s="21"/>
    </row>
    <row r="935" customFormat="false" ht="15.75" hidden="false" customHeight="true" outlineLevel="0" collapsed="false">
      <c r="D935" s="20"/>
      <c r="Q935" s="21"/>
      <c r="R935" s="21"/>
      <c r="S935" s="21"/>
      <c r="T935" s="21"/>
    </row>
    <row r="936" customFormat="false" ht="15.75" hidden="false" customHeight="true" outlineLevel="0" collapsed="false">
      <c r="D936" s="20"/>
      <c r="Q936" s="21"/>
      <c r="R936" s="21"/>
      <c r="S936" s="21"/>
      <c r="T936" s="21"/>
    </row>
    <row r="937" customFormat="false" ht="15.75" hidden="false" customHeight="true" outlineLevel="0" collapsed="false">
      <c r="D937" s="20"/>
      <c r="Q937" s="21"/>
      <c r="R937" s="21"/>
      <c r="S937" s="21"/>
      <c r="T937" s="21"/>
    </row>
    <row r="938" customFormat="false" ht="15.75" hidden="false" customHeight="true" outlineLevel="0" collapsed="false">
      <c r="D938" s="20"/>
      <c r="Q938" s="21"/>
      <c r="R938" s="21"/>
      <c r="S938" s="21"/>
      <c r="T938" s="21"/>
    </row>
    <row r="939" customFormat="false" ht="15.75" hidden="false" customHeight="true" outlineLevel="0" collapsed="false">
      <c r="D939" s="20"/>
      <c r="Q939" s="21"/>
      <c r="R939" s="21"/>
      <c r="S939" s="21"/>
      <c r="T939" s="21"/>
    </row>
    <row r="940" customFormat="false" ht="15.75" hidden="false" customHeight="true" outlineLevel="0" collapsed="false">
      <c r="D940" s="20"/>
      <c r="Q940" s="21"/>
      <c r="R940" s="21"/>
      <c r="S940" s="21"/>
      <c r="T940" s="21"/>
    </row>
    <row r="941" customFormat="false" ht="15.75" hidden="false" customHeight="true" outlineLevel="0" collapsed="false">
      <c r="D941" s="20"/>
      <c r="Q941" s="21"/>
      <c r="R941" s="21"/>
      <c r="S941" s="21"/>
      <c r="T941" s="21"/>
    </row>
    <row r="942" customFormat="false" ht="15.75" hidden="false" customHeight="true" outlineLevel="0" collapsed="false">
      <c r="D942" s="20"/>
      <c r="Q942" s="21"/>
      <c r="R942" s="21"/>
      <c r="S942" s="21"/>
      <c r="T942" s="21"/>
    </row>
    <row r="943" customFormat="false" ht="15.75" hidden="false" customHeight="true" outlineLevel="0" collapsed="false">
      <c r="D943" s="20"/>
      <c r="Q943" s="21"/>
      <c r="R943" s="21"/>
      <c r="S943" s="21"/>
      <c r="T943" s="21"/>
    </row>
    <row r="944" customFormat="false" ht="15.75" hidden="false" customHeight="true" outlineLevel="0" collapsed="false">
      <c r="D944" s="20"/>
      <c r="Q944" s="21"/>
      <c r="R944" s="21"/>
      <c r="S944" s="21"/>
      <c r="T944" s="21"/>
    </row>
    <row r="945" customFormat="false" ht="15.75" hidden="false" customHeight="true" outlineLevel="0" collapsed="false">
      <c r="D945" s="20"/>
      <c r="Q945" s="21"/>
      <c r="R945" s="21"/>
      <c r="S945" s="21"/>
      <c r="T945" s="21"/>
    </row>
    <row r="946" customFormat="false" ht="15.75" hidden="false" customHeight="true" outlineLevel="0" collapsed="false">
      <c r="D946" s="20"/>
      <c r="Q946" s="21"/>
      <c r="R946" s="21"/>
      <c r="S946" s="21"/>
      <c r="T946" s="21"/>
    </row>
    <row r="947" customFormat="false" ht="15.75" hidden="false" customHeight="true" outlineLevel="0" collapsed="false">
      <c r="D947" s="20"/>
      <c r="Q947" s="21"/>
      <c r="R947" s="21"/>
      <c r="S947" s="21"/>
      <c r="T947" s="21"/>
    </row>
    <row r="948" customFormat="false" ht="15.75" hidden="false" customHeight="true" outlineLevel="0" collapsed="false">
      <c r="D948" s="20"/>
      <c r="Q948" s="21"/>
      <c r="R948" s="21"/>
      <c r="S948" s="21"/>
      <c r="T948" s="21"/>
    </row>
    <row r="949" customFormat="false" ht="15.75" hidden="false" customHeight="true" outlineLevel="0" collapsed="false">
      <c r="D949" s="20"/>
      <c r="Q949" s="21"/>
      <c r="R949" s="21"/>
      <c r="S949" s="21"/>
      <c r="T949" s="21"/>
    </row>
    <row r="950" customFormat="false" ht="15.75" hidden="false" customHeight="true" outlineLevel="0" collapsed="false">
      <c r="D950" s="20"/>
      <c r="Q950" s="21"/>
      <c r="R950" s="21"/>
      <c r="S950" s="21"/>
      <c r="T950" s="21"/>
    </row>
    <row r="951" customFormat="false" ht="15.75" hidden="false" customHeight="true" outlineLevel="0" collapsed="false">
      <c r="D951" s="20"/>
      <c r="Q951" s="21"/>
      <c r="R951" s="21"/>
      <c r="S951" s="21"/>
      <c r="T951" s="21"/>
    </row>
    <row r="952" customFormat="false" ht="15.75" hidden="false" customHeight="true" outlineLevel="0" collapsed="false">
      <c r="D952" s="20"/>
      <c r="Q952" s="21"/>
      <c r="R952" s="21"/>
      <c r="S952" s="21"/>
      <c r="T952" s="21"/>
    </row>
    <row r="953" customFormat="false" ht="15.75" hidden="false" customHeight="true" outlineLevel="0" collapsed="false">
      <c r="D953" s="20"/>
      <c r="Q953" s="21"/>
      <c r="R953" s="21"/>
      <c r="S953" s="21"/>
      <c r="T953" s="21"/>
    </row>
    <row r="954" customFormat="false" ht="15.75" hidden="false" customHeight="true" outlineLevel="0" collapsed="false">
      <c r="D954" s="20"/>
      <c r="Q954" s="21"/>
      <c r="R954" s="21"/>
      <c r="S954" s="21"/>
      <c r="T954" s="21"/>
    </row>
    <row r="955" customFormat="false" ht="15.75" hidden="false" customHeight="true" outlineLevel="0" collapsed="false">
      <c r="D955" s="20"/>
      <c r="Q955" s="21"/>
      <c r="R955" s="21"/>
      <c r="S955" s="21"/>
      <c r="T955" s="21"/>
    </row>
    <row r="956" customFormat="false" ht="15.75" hidden="false" customHeight="true" outlineLevel="0" collapsed="false">
      <c r="D956" s="20"/>
      <c r="Q956" s="21"/>
      <c r="R956" s="21"/>
      <c r="S956" s="21"/>
      <c r="T956" s="21"/>
    </row>
    <row r="957" customFormat="false" ht="15.75" hidden="false" customHeight="true" outlineLevel="0" collapsed="false">
      <c r="D957" s="20"/>
      <c r="Q957" s="21"/>
      <c r="R957" s="21"/>
      <c r="S957" s="21"/>
      <c r="T957" s="21"/>
    </row>
    <row r="958" customFormat="false" ht="15.75" hidden="false" customHeight="true" outlineLevel="0" collapsed="false">
      <c r="D958" s="20"/>
      <c r="Q958" s="21"/>
      <c r="R958" s="21"/>
      <c r="S958" s="21"/>
      <c r="T958" s="21"/>
    </row>
    <row r="959" customFormat="false" ht="15.75" hidden="false" customHeight="true" outlineLevel="0" collapsed="false">
      <c r="D959" s="20"/>
      <c r="Q959" s="21"/>
      <c r="R959" s="21"/>
      <c r="S959" s="21"/>
      <c r="T959" s="21"/>
    </row>
    <row r="960" customFormat="false" ht="15.75" hidden="false" customHeight="true" outlineLevel="0" collapsed="false">
      <c r="D960" s="20"/>
      <c r="Q960" s="21"/>
      <c r="R960" s="21"/>
      <c r="S960" s="21"/>
      <c r="T960" s="21"/>
    </row>
    <row r="961" customFormat="false" ht="15.75" hidden="false" customHeight="true" outlineLevel="0" collapsed="false">
      <c r="D961" s="20"/>
      <c r="Q961" s="21"/>
      <c r="R961" s="21"/>
      <c r="S961" s="21"/>
      <c r="T961" s="21"/>
    </row>
    <row r="962" customFormat="false" ht="15.75" hidden="false" customHeight="true" outlineLevel="0" collapsed="false">
      <c r="D962" s="20"/>
      <c r="Q962" s="21"/>
      <c r="R962" s="21"/>
      <c r="S962" s="21"/>
      <c r="T962" s="21"/>
    </row>
    <row r="963" customFormat="false" ht="15.75" hidden="false" customHeight="true" outlineLevel="0" collapsed="false">
      <c r="D963" s="20"/>
      <c r="Q963" s="21"/>
      <c r="R963" s="21"/>
      <c r="S963" s="21"/>
      <c r="T963" s="21"/>
    </row>
    <row r="964" customFormat="false" ht="15.75" hidden="false" customHeight="true" outlineLevel="0" collapsed="false">
      <c r="D964" s="20"/>
      <c r="Q964" s="21"/>
      <c r="R964" s="21"/>
      <c r="S964" s="21"/>
      <c r="T964" s="21"/>
    </row>
    <row r="965" customFormat="false" ht="15.75" hidden="false" customHeight="true" outlineLevel="0" collapsed="false">
      <c r="D965" s="20"/>
      <c r="Q965" s="21"/>
      <c r="R965" s="21"/>
      <c r="S965" s="21"/>
      <c r="T965" s="21"/>
    </row>
    <row r="966" customFormat="false" ht="15.75" hidden="false" customHeight="true" outlineLevel="0" collapsed="false">
      <c r="D966" s="20"/>
      <c r="Q966" s="21"/>
      <c r="R966" s="21"/>
      <c r="S966" s="21"/>
      <c r="T966" s="21"/>
    </row>
    <row r="967" customFormat="false" ht="15.75" hidden="false" customHeight="true" outlineLevel="0" collapsed="false">
      <c r="D967" s="20"/>
      <c r="Q967" s="21"/>
      <c r="R967" s="21"/>
      <c r="S967" s="21"/>
      <c r="T967" s="21"/>
    </row>
    <row r="968" customFormat="false" ht="15.75" hidden="false" customHeight="true" outlineLevel="0" collapsed="false">
      <c r="D968" s="20"/>
      <c r="Q968" s="21"/>
      <c r="R968" s="21"/>
      <c r="S968" s="21"/>
      <c r="T968" s="21"/>
    </row>
    <row r="969" customFormat="false" ht="15.75" hidden="false" customHeight="true" outlineLevel="0" collapsed="false">
      <c r="D969" s="20"/>
      <c r="Q969" s="21"/>
      <c r="R969" s="21"/>
      <c r="S969" s="21"/>
      <c r="T969" s="21"/>
    </row>
    <row r="970" customFormat="false" ht="15.75" hidden="false" customHeight="true" outlineLevel="0" collapsed="false">
      <c r="D970" s="20"/>
      <c r="Q970" s="21"/>
      <c r="R970" s="21"/>
      <c r="S970" s="21"/>
      <c r="T970" s="21"/>
    </row>
    <row r="971" customFormat="false" ht="15.75" hidden="false" customHeight="true" outlineLevel="0" collapsed="false">
      <c r="D971" s="20"/>
      <c r="Q971" s="21"/>
      <c r="R971" s="21"/>
      <c r="S971" s="21"/>
      <c r="T971" s="21"/>
    </row>
    <row r="972" customFormat="false" ht="15.75" hidden="false" customHeight="true" outlineLevel="0" collapsed="false">
      <c r="D972" s="20"/>
      <c r="Q972" s="21"/>
      <c r="R972" s="21"/>
      <c r="S972" s="21"/>
      <c r="T972" s="21"/>
    </row>
    <row r="973" customFormat="false" ht="15.75" hidden="false" customHeight="true" outlineLevel="0" collapsed="false">
      <c r="D973" s="20"/>
      <c r="Q973" s="21"/>
      <c r="R973" s="21"/>
      <c r="S973" s="21"/>
      <c r="T973" s="21"/>
    </row>
    <row r="974" customFormat="false" ht="15.75" hidden="false" customHeight="true" outlineLevel="0" collapsed="false">
      <c r="D974" s="20"/>
      <c r="Q974" s="21"/>
      <c r="R974" s="21"/>
      <c r="S974" s="21"/>
      <c r="T974" s="21"/>
    </row>
    <row r="975" customFormat="false" ht="15.75" hidden="false" customHeight="true" outlineLevel="0" collapsed="false">
      <c r="D975" s="20"/>
      <c r="Q975" s="21"/>
      <c r="R975" s="21"/>
      <c r="S975" s="21"/>
      <c r="T975" s="21"/>
    </row>
    <row r="976" customFormat="false" ht="15.75" hidden="false" customHeight="true" outlineLevel="0" collapsed="false">
      <c r="D976" s="20"/>
      <c r="Q976" s="21"/>
      <c r="R976" s="21"/>
      <c r="S976" s="21"/>
      <c r="T976" s="21"/>
    </row>
    <row r="977" customFormat="false" ht="15.75" hidden="false" customHeight="true" outlineLevel="0" collapsed="false">
      <c r="D977" s="20"/>
      <c r="Q977" s="21"/>
      <c r="R977" s="21"/>
      <c r="S977" s="21"/>
      <c r="T977" s="21"/>
    </row>
    <row r="978" customFormat="false" ht="15.75" hidden="false" customHeight="true" outlineLevel="0" collapsed="false">
      <c r="D978" s="20"/>
      <c r="Q978" s="21"/>
      <c r="R978" s="21"/>
      <c r="S978" s="21"/>
      <c r="T978" s="21"/>
    </row>
    <row r="979" customFormat="false" ht="15.75" hidden="false" customHeight="true" outlineLevel="0" collapsed="false">
      <c r="D979" s="20"/>
      <c r="Q979" s="21"/>
      <c r="R979" s="21"/>
      <c r="S979" s="21"/>
      <c r="T979" s="21"/>
    </row>
    <row r="980" customFormat="false" ht="15.75" hidden="false" customHeight="true" outlineLevel="0" collapsed="false">
      <c r="D980" s="20"/>
      <c r="Q980" s="21"/>
      <c r="R980" s="21"/>
      <c r="S980" s="21"/>
      <c r="T980" s="21"/>
    </row>
    <row r="981" customFormat="false" ht="15.75" hidden="false" customHeight="true" outlineLevel="0" collapsed="false">
      <c r="D981" s="20"/>
      <c r="Q981" s="21"/>
      <c r="R981" s="21"/>
      <c r="S981" s="21"/>
      <c r="T981" s="21"/>
    </row>
    <row r="982" customFormat="false" ht="15.75" hidden="false" customHeight="true" outlineLevel="0" collapsed="false">
      <c r="D982" s="20"/>
      <c r="Q982" s="21"/>
      <c r="R982" s="21"/>
      <c r="S982" s="21"/>
      <c r="T982" s="21"/>
    </row>
    <row r="983" customFormat="false" ht="15.75" hidden="false" customHeight="true" outlineLevel="0" collapsed="false">
      <c r="D983" s="20"/>
      <c r="Q983" s="21"/>
      <c r="R983" s="21"/>
      <c r="S983" s="21"/>
      <c r="T983" s="21"/>
    </row>
    <row r="984" customFormat="false" ht="15.75" hidden="false" customHeight="true" outlineLevel="0" collapsed="false">
      <c r="D984" s="20"/>
      <c r="Q984" s="21"/>
      <c r="R984" s="21"/>
      <c r="S984" s="21"/>
      <c r="T984" s="21"/>
    </row>
    <row r="985" customFormat="false" ht="15.75" hidden="false" customHeight="true" outlineLevel="0" collapsed="false">
      <c r="D985" s="20"/>
      <c r="Q985" s="21"/>
      <c r="R985" s="21"/>
      <c r="S985" s="21"/>
      <c r="T985" s="21"/>
    </row>
    <row r="986" customFormat="false" ht="15.75" hidden="false" customHeight="true" outlineLevel="0" collapsed="false">
      <c r="D986" s="20"/>
      <c r="Q986" s="21"/>
      <c r="R986" s="21"/>
      <c r="S986" s="21"/>
      <c r="T986" s="21"/>
    </row>
    <row r="987" customFormat="false" ht="15.75" hidden="false" customHeight="true" outlineLevel="0" collapsed="false">
      <c r="D987" s="20"/>
      <c r="Q987" s="21"/>
      <c r="R987" s="21"/>
      <c r="S987" s="21"/>
      <c r="T987" s="21"/>
    </row>
    <row r="988" customFormat="false" ht="15.75" hidden="false" customHeight="true" outlineLevel="0" collapsed="false">
      <c r="D988" s="20"/>
      <c r="Q988" s="21"/>
      <c r="R988" s="21"/>
      <c r="S988" s="21"/>
      <c r="T988" s="21"/>
    </row>
    <row r="989" customFormat="false" ht="15.75" hidden="false" customHeight="true" outlineLevel="0" collapsed="false">
      <c r="D989" s="20"/>
      <c r="Q989" s="21"/>
      <c r="R989" s="21"/>
      <c r="S989" s="21"/>
      <c r="T989" s="21"/>
    </row>
    <row r="990" customFormat="false" ht="15.75" hidden="false" customHeight="true" outlineLevel="0" collapsed="false">
      <c r="D990" s="20"/>
      <c r="Q990" s="21"/>
      <c r="R990" s="21"/>
      <c r="S990" s="21"/>
      <c r="T990" s="21"/>
    </row>
    <row r="991" customFormat="false" ht="15.75" hidden="false" customHeight="true" outlineLevel="0" collapsed="false">
      <c r="D991" s="20"/>
      <c r="Q991" s="21"/>
      <c r="R991" s="21"/>
      <c r="S991" s="21"/>
      <c r="T991" s="21"/>
    </row>
    <row r="992" customFormat="false" ht="15.75" hidden="false" customHeight="true" outlineLevel="0" collapsed="false">
      <c r="D992" s="20"/>
      <c r="Q992" s="21"/>
      <c r="R992" s="21"/>
      <c r="S992" s="21"/>
      <c r="T992" s="21"/>
    </row>
    <row r="993" customFormat="false" ht="15.75" hidden="false" customHeight="true" outlineLevel="0" collapsed="false">
      <c r="D993" s="20"/>
      <c r="Q993" s="21"/>
      <c r="R993" s="21"/>
      <c r="S993" s="21"/>
      <c r="T993" s="21"/>
    </row>
    <row r="994" customFormat="false" ht="15.75" hidden="false" customHeight="true" outlineLevel="0" collapsed="false">
      <c r="D994" s="20"/>
      <c r="Q994" s="21"/>
      <c r="R994" s="21"/>
      <c r="S994" s="21"/>
      <c r="T994" s="21"/>
    </row>
    <row r="995" customFormat="false" ht="15.75" hidden="false" customHeight="true" outlineLevel="0" collapsed="false">
      <c r="D995" s="20"/>
      <c r="Q995" s="21"/>
      <c r="R995" s="21"/>
      <c r="S995" s="21"/>
      <c r="T995" s="21"/>
    </row>
    <row r="996" customFormat="false" ht="15.75" hidden="false" customHeight="true" outlineLevel="0" collapsed="false">
      <c r="D996" s="20"/>
      <c r="Q996" s="21"/>
      <c r="R996" s="21"/>
      <c r="S996" s="21"/>
      <c r="T996" s="21"/>
    </row>
    <row r="997" customFormat="false" ht="15.75" hidden="false" customHeight="true" outlineLevel="0" collapsed="false">
      <c r="D997" s="20"/>
      <c r="Q997" s="21"/>
      <c r="R997" s="21"/>
      <c r="S997" s="21"/>
      <c r="T997" s="21"/>
    </row>
    <row r="998" customFormat="false" ht="15.75" hidden="false" customHeight="true" outlineLevel="0" collapsed="false">
      <c r="D998" s="20"/>
      <c r="Q998" s="21"/>
      <c r="R998" s="21"/>
      <c r="S998" s="21"/>
      <c r="T998" s="21"/>
    </row>
    <row r="999" customFormat="false" ht="15.75" hidden="false" customHeight="true" outlineLevel="0" collapsed="false">
      <c r="D999" s="20"/>
      <c r="Q999" s="21"/>
      <c r="R999" s="21"/>
      <c r="S999" s="21"/>
      <c r="T999" s="21"/>
    </row>
    <row r="1000" customFormat="false" ht="15.75" hidden="false" customHeight="true" outlineLevel="0" collapsed="false">
      <c r="D1000" s="20"/>
      <c r="Q1000" s="21"/>
      <c r="R1000" s="21"/>
      <c r="S1000" s="21"/>
      <c r="T1000" s="21"/>
    </row>
  </sheetData>
  <conditionalFormatting sqref="A2:N1000">
    <cfRule type="expression" priority="2" aboveAverage="0" equalAverage="0" bottom="0" percent="0" rank="0" text="" dxfId="3">
      <formula>IFERROR(FIND("⚠️", $N2)=1, 0)</formula>
    </cfRule>
  </conditionalFormatting>
  <dataValidations count="2">
    <dataValidation allowBlank="true" errorStyle="stop" operator="between" showDropDown="true" showErrorMessage="false" showInputMessage="false" sqref="D2:J7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true" showErrorMessage="false" showInputMessage="false" sqref="M2:M7" type="custom">
      <formula1>OR(NOT(ISERROR(DATEVALUE(M2))), AND(ISNUMBER(M2), LEFT(CELL("format", M2))="D"))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8"/>
    <col collapsed="false" customWidth="true" hidden="false" outlineLevel="0" max="9" min="9" style="1" width="30"/>
  </cols>
  <sheetData>
    <row r="1" customFormat="false" ht="34.5" hidden="false" customHeight="true" outlineLevel="0" collapsed="false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</row>
    <row r="2" customFormat="false" ht="15" hidden="false" customHeight="true" outlineLevel="0" collapsed="false">
      <c r="A2" s="9" t="s">
        <v>84</v>
      </c>
      <c r="B2" s="9" t="s">
        <v>109</v>
      </c>
      <c r="C2" s="9"/>
      <c r="D2" s="9"/>
      <c r="E2" s="9"/>
      <c r="F2" s="9"/>
      <c r="G2" s="9"/>
      <c r="H2" s="9" t="s">
        <v>110</v>
      </c>
      <c r="I2" s="9" t="str">
        <f aca="false">IFERROR(VLOOKUP(A2,Master_Watchlist!A:O,15,FALSE()),"ticker not in Master_Watchlist")</f>
        <v>Core Accumulation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8"/>
    <col collapsed="false" customWidth="true" hidden="false" outlineLevel="0" max="9" min="9" style="1" width="30"/>
  </cols>
  <sheetData>
    <row r="1" customFormat="false" ht="34.5" hidden="false" customHeight="true" outlineLevel="0" collapsed="false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</row>
    <row r="2" customFormat="false" ht="15" hidden="false" customHeight="true" outlineLevel="0" collapsed="false">
      <c r="A2" s="9" t="s">
        <v>84</v>
      </c>
      <c r="B2" s="9" t="s">
        <v>111</v>
      </c>
      <c r="C2" s="9"/>
      <c r="D2" s="9"/>
      <c r="E2" s="9"/>
      <c r="F2" s="9"/>
      <c r="G2" s="9"/>
      <c r="H2" s="9" t="s">
        <v>110</v>
      </c>
      <c r="I2" s="9" t="str">
        <f aca="false">IFERROR(VLOOKUP(A2,Master_Watchlist!A:O,15,FALSE()),"ticker not in Master_Watchlist")</f>
        <v>Core Accumulation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2026-06-24T04:48:20Z</dcterms:created>
  <dc:creator>openpyxl</dc:creator>
  <dc:description/>
  <dc:language>en-US</dc:language>
  <cp:lastModifiedBy/>
  <dcterms:modified xsi:type="dcterms:W3CDTF">2026-06-28T21:56:15Z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