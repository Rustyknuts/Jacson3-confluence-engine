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Watchlist" sheetId="1" r:id="rId4"/>
    <sheet state="visible" name="TV_Imports" sheetId="2" r:id="rId5"/>
    <sheet state="visible" name="STRC_Income" sheetId="3" r:id="rId6"/>
    <sheet state="visible" name="Macro_Theses" sheetId="4" r:id="rId7"/>
    <sheet state="visible" name="Jacson3_Holdings" sheetId="5" r:id="rId8"/>
    <sheet state="visible" name="Personal_Holdings" sheetId="6" r:id="rId9"/>
  </sheets>
  <definedNames/>
  <calcPr/>
  <extLst>
    <ext uri="GoogleSheetsCustomDataVersion2">
      <go:sheetsCustomData xmlns:go="http://customooxmlschemas.google.com/" r:id="rId10" roundtripDataChecksum="Kt9voSmdRLy+98gq75NRAXRuR5KcqKGPRXOxVbJFTV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3">
      <text>
        <t xml:space="preserve">======
ID#AAAB-p8Ra3o
Unknown Author    (2026-06-29 03:30:48)
Price intentionally left blank, consistent with CEN/MEL — no single trustworthy timestamped quote sourced yet. Named in the Investor Profile (Medium term other) but was missing from this sheet; added here as Active Trailing per the Technical Specification.</t>
      </text>
    </comment>
    <comment authorId="0" ref="D32">
      <text>
        <t xml:space="preserve">======
ID#AAAB-p8Ra38
Unknown Author    (2026-06-29 03:30:48)
Price intentionally left blank. Search results for MEL returned conflicting figures (NZ$5.67-$6.03 across sources dated mid-to-late June 2026) -- not a single auditable live print. Enter the actual NZX last price from TradingView here.</t>
      </text>
    </comment>
    <comment authorId="0" ref="D31">
      <text>
        <t xml:space="preserve">======
ID#AAAB-p8Ra34
Unknown Author    (2026-06-29 03:30:48)
Price intentionally left blank. Search results for CEN returned conflicting, undated figures (NZ$8.75-$9.98 range across sources) -- not a single auditable live print. Per the &lt;1hr data-age rule, enter the actual NZX last price from TradingView here rather than a search-derived estimate.</t>
      </text>
    </comment>
    <comment authorId="0" ref="Q5">
      <text>
        <t xml:space="preserve">======
ID#AAAB-p8Ra3g
Unknown Author    (2026-06-29 03:30:48)
Copper (COPX) Signal</t>
      </text>
    </comment>
    <comment authorId="0" ref="Q4">
      <text>
        <t xml:space="preserve">======
ID#AAAB-p8Ra30
Unknown Author    (2026-06-29 03:30:48)
WTI Crude (USO) Signal</t>
      </text>
    </comment>
    <comment authorId="0" ref="O1">
      <text>
        <t xml:space="preserve">======
ID#AAAB-p8Ra4Y
Unknown Author    (2026-06-29 03:30:48)
Core Accumulation: no tight stop; wide stop calibrated below VRVP POC with a buffer (thesis-failure backstop, not a trading trigger). Active Trailing: standard Tight (1.5xATR) / Wide (2.5xATR) stops. See Technical Specification §2 for the full rule. Set once at purchase; change only deliberately.</t>
      </text>
    </comment>
    <comment authorId="0" ref="Q3">
      <text>
        <t xml:space="preserve">======
ID#AAAB-p8Ra3c
Unknown Author    (2026-06-29 03:30:48)
NZD/AUD Timing</t>
      </text>
    </comment>
    <comment authorId="0" ref="Q2">
      <text>
        <t xml:space="preserve">======
ID#AAAB-p8Ra4A
Unknown Author    (2026-06-29 03:30:48)
PRIME BUY USD
HOLD NZD</t>
      </text>
    </comment>
    <comment authorId="0" ref="P1">
      <text>
        <t xml:space="preserve">======
ID#AAAB-p8Ra3w
Unknown Author    (2026-06-29 03:30:48)
Manual entry or TradingView webhook only. Enter exactly: Bullish, Neutral, or Bearish. Never compute this from price data in this sheet — Larsson Line is CTO Larsson's proprietary indicator; record its reported chart state only.</t>
      </text>
    </comment>
    <comment authorId="0" ref="Q1">
      <text>
        <t xml:space="preserve">======
ID#AAAB-p8Ra4E
Unknown Author    (2026-06-29 03:30:48)
Free-form for now (decided, not an oversight) -- standardizing to Bullish/Neutral/Bearish was deferred until Phase 2 (Pine Script) clarifies what the alert/webhook payload actually needs. See CHECKLISTS/01-data-layer.md.</t>
      </text>
    </comment>
    <comment authorId="0" ref="R1">
      <text>
        <t xml:space="preserve">======
ID#AAAB-p8Ra3s
Unknown Author    (2026-06-29 03:30:48)
Free-form for now -- same deferral as column Q. See CHECKLISTS/01-data-layer.md.</t>
      </text>
    </comment>
    <comment authorId="0" ref="S1">
      <text>
        <t xml:space="preserve">======
ID#AAAB-p8Ra4c
Unknown Author    (2026-06-29 03:30:48)
Free-form for now -- same deferral as column Q. See CHECKLISTS/01-data-layer.md.</t>
      </text>
    </comment>
    <comment authorId="0" ref="U1">
      <text>
        <t xml:space="preserve">======
ID#AAAB-p8Ra4g
Unknown Author    (2026-06-29 03:30:48)
Interim formula: weights Larsson Line (O) x2 and Global Analyst Macro (L) x2 — the two Bullish/Neutral/Bearish text signals available in this sheet today. RSI/Bollinger/VRVP/Pattern (P-S) are present as entry columns but not yet wired into the score since they are not stored as a standardised Bullish/Neutral/Bearish read here. Extend the T formula once they are. Full weighting spec: Addendum A, Section 3.3.</t>
      </text>
    </comment>
    <comment authorId="0" ref="X1">
      <text>
        <t xml:space="preserve">======
ID#AAAB-p8Ra4I
Unknown Author    (2026-06-29 03:30:48)
Relocated from P1 to W1 to make room for the Confluence Engine columns (O-U) added per Addendum A, Section 4. Internal formula references were updated accordingly (Q-&gt;X, R-&gt;Y, S-&gt;Z).</t>
      </text>
    </comment>
  </commentList>
  <extLst>
    <ext uri="GoogleSheetsCustomDataVersion2">
      <go:sheetsCustomData xmlns:go="http://customooxmlschemas.google.com/" r:id="rId1" roundtripDataSignature="AMtx7mjxi4Z8lKNEymRaprUDkyqAAjBez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ID#AAAB-p8Ra3k
Unknown Author    (2026-06-29 03:30:48)
Jacson3 Ltd company holdings. Sources: Sharesight portfolios 'Jacson3 Sharesies' and 'Jacson3 Crypto' (both confirmed active). 'Jacson3 ASB Securities' exists in Sharesight but is pending a cleanup decision (reportedly sold down to empty) -- exclude it from this tab until that's resolved; see CHECKLISTS. Populate Ticker, Sharesight Portfolio, Quantity, Average Cost, Current Value, and Annualised Return from the Sharesight API once connected -- do not rebuild XIRR math here, pull Sharesight's own computed annualised return per Technical Specification §5.5.</t>
      </text>
    </comment>
    <comment authorId="0" ref="I1">
      <text>
        <t xml:space="preserve">======
ID#AAAB-p8Ra4U
Unknown Author    (2026-06-29 03:30:48)
Use =VLOOKUP or XLOOKUP against Master_Watchlist column A to pull Holding Status, Tight/Wide Stop, Confluence Score, etc. for this ticker. Don't duplicate that data here -- look it up, so there is exactly one source of truth per ticker for technical/WSAPT data.</t>
      </text>
    </comment>
  </commentList>
  <extLst>
    <ext uri="GoogleSheetsCustomDataVersion2">
      <go:sheetsCustomData xmlns:go="http://customooxmlschemas.google.com/" r:id="rId1" roundtripDataSignature="AMtx7mhGWHkZ3a4fN7OTlLdhDQDlIZfG9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ID#AAAB-p8Ra4M
Unknown Author    (2026-06-29 03:30:48)
Personal holdings outside the Jacson3 entity. Source: Moomoo, to be connected via Sharesight's direct Moomoo integration (same mechanism as Sharesies) as a new Sharesight portfolio -- suggested name 'Personal Moomoo' to match the existing 'Jacson3 ___' naming convention. Not yet connected as of this revision. Populate Ticker, Sharesight Portfolio, Quantity, Average Cost, Current Value, and Annualised Return from the Sharesight API once connected -- do not rebuild XIRR math here, pull Sharesight's own computed annualised return per Technical Specification §5.5.</t>
      </text>
    </comment>
    <comment authorId="0" ref="I1">
      <text>
        <t xml:space="preserve">======
ID#AAAB-p8Ra4Q
Unknown Author    (2026-06-29 03:30:48)
Use =VLOOKUP or XLOOKUP against Master_Watchlist column A to pull Holding Status, Tight/Wide Stop, Confluence Score, etc. for this ticker. Don't duplicate that data here -- look it up, so there is exactly one source of truth per ticker for technical/WSAPT data.</t>
      </text>
    </comment>
  </commentList>
  <extLst>
    <ext uri="GoogleSheetsCustomDataVersion2">
      <go:sheetsCustomData xmlns:go="http://customooxmlschemas.google.com/" r:id="rId1" roundtripDataSignature="AMtx7mgKjhSjJDP5LTKPYEbWhd5l8abGPQ=="/>
    </ext>
  </extLst>
</comments>
</file>

<file path=xl/sharedStrings.xml><?xml version="1.0" encoding="utf-8"?>
<sst xmlns="http://schemas.openxmlformats.org/spreadsheetml/2006/main" count="247" uniqueCount="112">
  <si>
    <t>Ticker</t>
  </si>
  <si>
    <t>Asset Name</t>
  </si>
  <si>
    <t>Category (Crypto / Tech Share / Regional Utility)</t>
  </si>
  <si>
    <t>Latest Close</t>
  </si>
  <si>
    <t>Peak Price</t>
  </si>
  <si>
    <t>Daily ATR (14)</t>
  </si>
  <si>
    <t>Tight Stop (Preservation)</t>
  </si>
  <si>
    <t>Wide Stop (Trend Defender)</t>
  </si>
  <si>
    <t>Accumulation 1 (Pullback)</t>
  </si>
  <si>
    <t>Accumulation 2 (POC)</t>
  </si>
  <si>
    <t>PE Analyst Fundamentals</t>
  </si>
  <si>
    <t>Global Analyst Macro</t>
  </si>
  <si>
    <t>Last Import Timestamp</t>
  </si>
  <si>
    <t>Data Status</t>
  </si>
  <si>
    <t>Holding Status</t>
  </si>
  <si>
    <t>Larsson Line Signal</t>
  </si>
  <si>
    <t>RSI (14)</t>
  </si>
  <si>
    <t>Bollinger Position</t>
  </si>
  <si>
    <t>VRVP POC Distance</t>
  </si>
  <si>
    <t>Pattern Note</t>
  </si>
  <si>
    <t>Confluence Score</t>
  </si>
  <si>
    <t>Confluence Read</t>
  </si>
  <si>
    <t>Label</t>
  </si>
  <si>
    <t>current price</t>
  </si>
  <si>
    <t>50-day SMA</t>
  </si>
  <si>
    <t>Trend Timing &amp; Strategy Signal</t>
  </si>
  <si>
    <t>BTC</t>
  </si>
  <si>
    <t>Bitcoin</t>
  </si>
  <si>
    <t>Crypto</t>
  </si>
  <si>
    <t>N/A</t>
  </si>
  <si>
    <t>Bullish</t>
  </si>
  <si>
    <t>Core Accumulation</t>
  </si>
  <si>
    <t>NZD / USD</t>
  </si>
  <si>
    <t>ETH</t>
  </si>
  <si>
    <t>Ethereum</t>
  </si>
  <si>
    <t>Active Trailing</t>
  </si>
  <si>
    <t>NZD / AUD</t>
  </si>
  <si>
    <t>GRT</t>
  </si>
  <si>
    <t>Neutral</t>
  </si>
  <si>
    <t>WTI Crude Oil</t>
  </si>
  <si>
    <t>HNT</t>
  </si>
  <si>
    <t>Copper (Infrastructure)</t>
  </si>
  <si>
    <t>HYPE</t>
  </si>
  <si>
    <t>Gold (Liquidity)</t>
  </si>
  <si>
    <t>JUP</t>
  </si>
  <si>
    <t>NOS</t>
  </si>
  <si>
    <t>PYTH</t>
  </si>
  <si>
    <t>RAY</t>
  </si>
  <si>
    <t>SKR</t>
  </si>
  <si>
    <t>SOL</t>
  </si>
  <si>
    <t>SUI</t>
  </si>
  <si>
    <t>EXC</t>
  </si>
  <si>
    <t>Exelon Corp.</t>
  </si>
  <si>
    <t>Regional Utility</t>
  </si>
  <si>
    <t>Stable</t>
  </si>
  <si>
    <t>Defensive</t>
  </si>
  <si>
    <t>AAPL</t>
  </si>
  <si>
    <t>Apple Inc.</t>
  </si>
  <si>
    <t>Tech Share</t>
  </si>
  <si>
    <t>Strong Buy</t>
  </si>
  <si>
    <t>ALAB</t>
  </si>
  <si>
    <t>Astera Labs, Inc</t>
  </si>
  <si>
    <t>Buy</t>
  </si>
  <si>
    <t>AMD</t>
  </si>
  <si>
    <t>Advanced Micro Devices Inc</t>
  </si>
  <si>
    <t>AMZN</t>
  </si>
  <si>
    <t>Amazon.com Inc</t>
  </si>
  <si>
    <t>AVGO</t>
  </si>
  <si>
    <t>Broadcom Inc</t>
  </si>
  <si>
    <t>GOOG</t>
  </si>
  <si>
    <t>Alphabet Inc Class C</t>
  </si>
  <si>
    <t>IAA</t>
  </si>
  <si>
    <t>iShares Asia 50 AUD ETF</t>
  </si>
  <si>
    <t>IBIT</t>
  </si>
  <si>
    <t>iShares Bitcoin Trust ETF</t>
  </si>
  <si>
    <t>MRVL</t>
  </si>
  <si>
    <t>Marvell Technology Inc</t>
  </si>
  <si>
    <t>MSFT</t>
  </si>
  <si>
    <t>Microsoft Corp.</t>
  </si>
  <si>
    <t>MSTR</t>
  </si>
  <si>
    <t>Strategy Inc Class A</t>
  </si>
  <si>
    <t>Hold</t>
  </si>
  <si>
    <t>MU</t>
  </si>
  <si>
    <t>Micron Technology Inc</t>
  </si>
  <si>
    <t>NVDA</t>
  </si>
  <si>
    <t>NVIDIA Corp.</t>
  </si>
  <si>
    <t>Overweight</t>
  </si>
  <si>
    <t>High Growth</t>
  </si>
  <si>
    <t>PLTR</t>
  </si>
  <si>
    <t>Palantir Technologies Inc</t>
  </si>
  <si>
    <t>RKLB</t>
  </si>
  <si>
    <t>Rocket Lab Corp</t>
  </si>
  <si>
    <t>Speculative</t>
  </si>
  <si>
    <t>TSLA</t>
  </si>
  <si>
    <t>Tesla Inc</t>
  </si>
  <si>
    <t>CEN</t>
  </si>
  <si>
    <t>Contact Energy Ltd</t>
  </si>
  <si>
    <t>MEL</t>
  </si>
  <si>
    <t>Meridian Energy Ltd</t>
  </si>
  <si>
    <t>BABA</t>
  </si>
  <si>
    <t>Alibaba Group Holding Ltd</t>
  </si>
  <si>
    <t>Sharesight Portfolio</t>
  </si>
  <si>
    <t>Quantity Held</t>
  </si>
  <si>
    <t>Average Cost Basis</t>
  </si>
  <si>
    <t>Current Value (NZD)</t>
  </si>
  <si>
    <t>Sharesight Annualised Return (%)</t>
  </si>
  <si>
    <t>Last Sync Timestamp</t>
  </si>
  <si>
    <t>Sync Status</t>
  </si>
  <si>
    <t>WSAPT Confluence Ref (Master_Watchlist lookup)</t>
  </si>
  <si>
    <t>Jacson3 Sharesies</t>
  </si>
  <si>
    <t>NOT YET CONNECTED</t>
  </si>
  <si>
    <t>Personal-MooMoo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</si>
</sst>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\ hh:mm:ss"/>
    <numFmt numFmtId="165" formatCode="yyyy\-mm\-dd\ h:mm:ss"/>
  </numFmts>
  <fonts count="5">
    <font>
      <sz val="10.0"/>
      <color rgb="FF000000"/>
      <name val="Arial"/>
      <scheme val="minor"/>
    </font>
    <font>
      <sz val="11.0"/>
      <color rgb="FF000000"/>
      <name val="Arial"/>
    </font>
    <font>
      <b/>
      <sz val="10.0"/>
      <color rgb="FFFFFFFF"/>
      <name val="Cambria"/>
    </font>
    <font>
      <sz val="11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1F3B57"/>
        <bgColor rgb="FF1F3B57"/>
      </patternFill>
    </fill>
  </fills>
  <borders count="4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center" wrapText="1"/>
    </xf>
    <xf borderId="0" fillId="0" fontId="3" numFmtId="2" xfId="0" applyAlignment="1" applyFont="1" applyNumberFormat="1">
      <alignment shrinkToFit="0" vertical="center" wrapText="1"/>
    </xf>
    <xf borderId="0" fillId="0" fontId="3" numFmtId="0" xfId="0" applyAlignment="1" applyFont="1">
      <alignment shrinkToFit="0" vertical="center" wrapText="0"/>
    </xf>
    <xf borderId="0" fillId="0" fontId="3" numFmtId="2" xfId="0" applyAlignment="1" applyFont="1" applyNumberFormat="1">
      <alignment shrinkToFit="0" vertical="center" wrapText="0"/>
    </xf>
    <xf borderId="0" fillId="0" fontId="3" numFmtId="164" xfId="0" applyAlignment="1" applyFont="1" applyNumberFormat="1">
      <alignment shrinkToFit="0" vertical="center" wrapText="1"/>
    </xf>
    <xf borderId="2" fillId="0" fontId="4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bottom" wrapText="1"/>
    </xf>
    <xf borderId="0" fillId="0" fontId="3" numFmtId="2" xfId="0" applyAlignment="1" applyFont="1" applyNumberFormat="1">
      <alignment shrinkToFit="0" vertical="bottom" wrapText="1"/>
    </xf>
    <xf borderId="0" fillId="0" fontId="3" numFmtId="2" xfId="0" applyAlignment="1" applyFont="1" applyNumberFormat="1">
      <alignment shrinkToFit="0" vertical="bottom" wrapText="0"/>
    </xf>
    <xf borderId="0" fillId="0" fontId="3" numFmtId="164" xfId="0" applyAlignment="1" applyFont="1" applyNumberFormat="1">
      <alignment shrinkToFit="0" vertical="bottom" wrapText="1"/>
    </xf>
    <xf borderId="0" fillId="0" fontId="3" numFmtId="0" xfId="0" applyAlignment="1" applyFont="1">
      <alignment shrinkToFit="0" vertical="bottom" wrapText="0"/>
    </xf>
    <xf borderId="2" fillId="0" fontId="3" numFmtId="2" xfId="0" applyAlignment="1" applyBorder="1" applyFont="1" applyNumberFormat="1">
      <alignment shrinkToFit="0" vertical="bottom" wrapText="0"/>
    </xf>
    <xf borderId="2" fillId="0" fontId="4" numFmtId="165" xfId="0" applyAlignment="1" applyBorder="1" applyFont="1" applyNumberFormat="1">
      <alignment shrinkToFit="0" vertical="bottom" wrapText="0"/>
    </xf>
    <xf borderId="3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FBE192"/>
          <bgColor rgb="FFFBE192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4" width="10.5"/>
    <col customWidth="1" min="15" max="18" width="16.0"/>
    <col customWidth="1" min="19" max="19" width="26.0"/>
    <col customWidth="1" min="20" max="21" width="16.0"/>
    <col customWidth="1" min="23" max="26" width="1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/>
      <c r="X1" s="3" t="s">
        <v>22</v>
      </c>
      <c r="Y1" s="3" t="s">
        <v>23</v>
      </c>
      <c r="Z1" s="3" t="s">
        <v>24</v>
      </c>
      <c r="AA1" s="3" t="s">
        <v>25</v>
      </c>
    </row>
    <row r="2" ht="22.5" customHeight="1">
      <c r="A2" s="4" t="s">
        <v>26</v>
      </c>
      <c r="B2" s="4" t="s">
        <v>27</v>
      </c>
      <c r="C2" s="4" t="s">
        <v>28</v>
      </c>
      <c r="D2" s="5">
        <v>64250.0</v>
      </c>
      <c r="E2" s="4">
        <v>73777.0</v>
      </c>
      <c r="F2" s="4">
        <v>2450.0</v>
      </c>
      <c r="G2" s="6" t="str">
        <f t="shared" ref="G2:G33" si="1">IF(D2="","no price data",IF(O2="Core Accumulation","n/a (no tight stop)",D2 - (1.5 * F2)))</f>
        <v>n/a (no tight stop)</v>
      </c>
      <c r="H2" s="6">
        <f>IF(D2="","no price data",IF(J2=0,"NEEDS POC ENTRY",J2*0.65))</f>
        <v>44400.2</v>
      </c>
      <c r="I2" s="7">
        <f t="shared" ref="I2:I33" si="2">IF(D2="","no price data",D2 - (1 * F2))</f>
        <v>61800</v>
      </c>
      <c r="J2" s="4">
        <v>68308.0</v>
      </c>
      <c r="K2" s="4" t="s">
        <v>29</v>
      </c>
      <c r="L2" s="4" t="s">
        <v>30</v>
      </c>
      <c r="M2" s="8">
        <v>46196.6423958333</v>
      </c>
      <c r="N2" s="6" t="str">
        <f t="shared" ref="N2:N30" si="3">IF(NOW()-M2 &gt; TIME(1,0,0), "⚠️ STALE DATA (&gt;1HR)", "✅ AUDITED - PRICE ACCURATE")</f>
        <v>⚠️ STALE DATA (&gt;1HR)</v>
      </c>
      <c r="O2" s="9" t="s">
        <v>31</v>
      </c>
      <c r="P2" s="9"/>
      <c r="Q2" s="10"/>
      <c r="R2" s="10"/>
      <c r="S2" s="10"/>
      <c r="T2" s="10"/>
      <c r="U2" s="9">
        <f t="shared" ref="U2:U33" si="4">(IF(LOWER(P2)="bullish",2,IF(LOWER(P2)="bearish",-2,0)))+(IF(LOWER(L2)="bullish",2,IF(LOWER(L2)="bearish",-2,0)))</f>
        <v>2</v>
      </c>
      <c r="V2" s="9" t="str">
        <f t="shared" ref="V2:V33" si="5">IF(U2&gt;=3,"Strong",IF(U2&lt;=-3,"Weak","Mixed / Watch"))</f>
        <v>Mixed / Watch</v>
      </c>
      <c r="W2" s="11"/>
      <c r="X2" s="11" t="s">
        <v>32</v>
      </c>
      <c r="Y2" s="11">
        <f>IFERROR(__xludf.DUMMYFUNCTION("GOOGLEFINANCE(""CURRENCY:NZDUSD"")"),0.56461)</f>
        <v>0.56461</v>
      </c>
      <c r="Z2" s="11">
        <f>IFERROR(__xludf.DUMMYFUNCTION("AVERAGE(QUERY(GOOGLEFINANCE(""CURRENCY:NZDUSD"", ""price"", TODAY()-80, TODAY()), ""SELECT Col2 ORDER BY Col1 DESC LIMIT 50"", 0))"),0.5834541999999999)</f>
        <v>0.5834542</v>
      </c>
      <c r="AA2" s="11" t="str">
        <f>IFERROR(__xludf.DUMMYFUNCTION("IF(AND(X2&gt;0.62, X2&gt;AVERAGE(INDEX(GOOGLEFINANCE(""CURRENCY:NZDUSD"", ""price"", TODAY()-50, TODAY()), 0, 2))), ""🔥 PRIME BUY USD (NZD Strong &gt; 0.62 &amp; Above 50-day SMA - Sweep NZD to USD Assets)"", IF(AND(X2&lt;0.59, X2&lt;AVERAGE(INDEX(GOOGLEFINANCE(""CURRENCY:"&amp;"NZDUSD"", ""price"", TODAY()-50, TODAY()), 0, 2))), ""🛑 HOLD NZD (NZD Weak &lt; 0.59 &amp; Below 50-day SMA - Let USD Holdings Float / Do Not Convert)"", IF(X2&gt;AVERAGE(INDEX(GOOGLEFINANCE(""CURRENCY:NZDUSD"", ""price"", TODAY()-50, TODAY()), 0, 2)), ""📈 NZD BU"&amp;"LLISH COIL (Kiwi Above 50-day SMA - Mid-range Strength)"", ""📉 NZD BEARISH SPREAD (Kiwi Below 50-day SMA - Mid-range Weakness)"")))"),"🔥 PRIME BUY USD (NZD Strong &gt; 0.62 &amp; Above 50-day SMA - Sweep NZD to USD Assets)")</f>
        <v>🔥 PRIME BUY USD (NZD Strong &gt; 0.62 &amp; Above 50-day SMA - Sweep NZD to USD Assets)</v>
      </c>
    </row>
    <row r="3" ht="22.5" customHeight="1">
      <c r="A3" s="4" t="s">
        <v>33</v>
      </c>
      <c r="B3" s="4" t="s">
        <v>34</v>
      </c>
      <c r="C3" s="4" t="s">
        <v>28</v>
      </c>
      <c r="D3" s="5">
        <v>3480.0</v>
      </c>
      <c r="E3" s="4">
        <v>4891.0</v>
      </c>
      <c r="F3" s="4">
        <v>145.0</v>
      </c>
      <c r="G3" s="7">
        <f t="shared" si="1"/>
        <v>3262.5</v>
      </c>
      <c r="H3" s="7">
        <f t="shared" ref="H3:H33" si="6">IF(D3="","no price data",D3 - (2.5 * F3))</f>
        <v>3117.5</v>
      </c>
      <c r="I3" s="7">
        <f t="shared" si="2"/>
        <v>3335</v>
      </c>
      <c r="J3" s="4">
        <v>0.0</v>
      </c>
      <c r="K3" s="4" t="s">
        <v>29</v>
      </c>
      <c r="L3" s="4" t="s">
        <v>30</v>
      </c>
      <c r="M3" s="8">
        <v>46196.6423958333</v>
      </c>
      <c r="N3" s="6" t="str">
        <f t="shared" si="3"/>
        <v>⚠️ STALE DATA (&gt;1HR)</v>
      </c>
      <c r="O3" s="9" t="s">
        <v>35</v>
      </c>
      <c r="P3" s="9"/>
      <c r="Q3" s="10"/>
      <c r="R3" s="10"/>
      <c r="S3" s="10"/>
      <c r="T3" s="10"/>
      <c r="U3" s="9">
        <f t="shared" si="4"/>
        <v>2</v>
      </c>
      <c r="V3" s="9" t="str">
        <f t="shared" si="5"/>
        <v>Mixed / Watch</v>
      </c>
      <c r="W3" s="11"/>
      <c r="X3" s="11" t="s">
        <v>36</v>
      </c>
      <c r="Y3" s="11">
        <f>IFERROR(__xludf.DUMMYFUNCTION("GOOGLEFINANCE(""CURRENCY:NZDAUD"")"),0.81901)</f>
        <v>0.81901</v>
      </c>
      <c r="Z3" s="11">
        <f>IFERROR(__xludf.DUMMYFUNCTION("AVERAGE(QUERY(GOOGLEFINANCE(""CURRENCY:NZDAUD"", ""price"", TODAY()-80, TODAY()), ""SELECT Col2 ORDER BY Col1 DESC LIMIT 50"", 0))"),0.821782892)</f>
        <v>0.821782892</v>
      </c>
      <c r="AA3" s="11" t="str">
        <f>IFERROR(__xludf.DUMMYFUNCTION("IF(X3&gt;AVERAGE(INDEX(GOOGLEFINANCE(""CURRENCY:NZDAUD"", ""price"", TODAY()-50, TODAY()), 0, 2)), ""📈 BUY ASX UTILITIES (Kiwi Stronger than Aussie - High ASX Purchasing Power)"", ""📉 HOLD NZ baseloads (Aussie Stronger than Kiwi - Hold local)"")"),"📈 BUY ASX UTILITIES (Kiwi Stronger than Aussie - High ASX Purchasing Power)")</f>
        <v>📈 BUY ASX UTILITIES (Kiwi Stronger than Aussie - High ASX Purchasing Power)</v>
      </c>
    </row>
    <row r="4" ht="22.5" customHeight="1">
      <c r="A4" s="6" t="s">
        <v>37</v>
      </c>
      <c r="B4" s="6" t="s">
        <v>37</v>
      </c>
      <c r="C4" s="6" t="s">
        <v>28</v>
      </c>
      <c r="D4" s="7">
        <v>0.25</v>
      </c>
      <c r="E4" s="6">
        <v>0.35</v>
      </c>
      <c r="F4" s="6">
        <v>0.02</v>
      </c>
      <c r="G4" s="7">
        <f t="shared" si="1"/>
        <v>0.22</v>
      </c>
      <c r="H4" s="7">
        <f t="shared" si="6"/>
        <v>0.2</v>
      </c>
      <c r="I4" s="7">
        <f t="shared" si="2"/>
        <v>0.23</v>
      </c>
      <c r="J4" s="4">
        <v>0.0</v>
      </c>
      <c r="K4" s="6" t="s">
        <v>29</v>
      </c>
      <c r="L4" s="6" t="s">
        <v>38</v>
      </c>
      <c r="M4" s="12">
        <v>46196.6486226852</v>
      </c>
      <c r="N4" s="6" t="str">
        <f t="shared" si="3"/>
        <v>⚠️ STALE DATA (&gt;1HR)</v>
      </c>
      <c r="O4" s="9" t="s">
        <v>35</v>
      </c>
      <c r="P4" s="9"/>
      <c r="Q4" s="10"/>
      <c r="R4" s="10"/>
      <c r="S4" s="10"/>
      <c r="T4" s="10"/>
      <c r="U4" s="9">
        <f t="shared" si="4"/>
        <v>0</v>
      </c>
      <c r="V4" s="9" t="str">
        <f t="shared" si="5"/>
        <v>Mixed / Watch</v>
      </c>
      <c r="W4" s="11"/>
      <c r="X4" s="11" t="s">
        <v>39</v>
      </c>
      <c r="Y4" s="11">
        <f>IFERROR(__xludf.DUMMYFUNCTION("GOOGLEFINANCE(""USO"")"),105.48)</f>
        <v>105.48</v>
      </c>
      <c r="Z4" s="11">
        <f>IFERROR(__xludf.DUMMYFUNCTION("AVERAGE(QUERY(GOOGLEFINANCE(""NYSEARCA:USO"", ""price"", TODAY()-80, TODAY()), ""SELECT Col2 ORDER BY Col1 DESC LIMIT 50"", 0))"),132.40840000000003)</f>
        <v>132.4084</v>
      </c>
      <c r="AA4" s="11" t="str">
        <f>IFERROR(__xludf.DUMMYFUNCTION("IF(X4&gt;AVERAGE(INDEX(GOOGLEFINANCE(""USO"", ""price"", TODAY()-50, TODAY()), 0, 2)), ""⚠️ ENERGY INFLATION SQUEEZE (USO above 50-day SMA - Watch NZ retail petrol/logistics margin pressure)"", ""✅ COOLDOWN (USO below 50-day SMA - Easing transport costs &amp; fa"&amp;"vorable consumer context)"")"),"⚠️ ENERGY INFLATION SQUEEZE (USO above 50-day SMA - Watch NZ retail petrol/logistics margin pressure)")</f>
        <v>⚠️ ENERGY INFLATION SQUEEZE (USO above 50-day SMA - Watch NZ retail petrol/logistics margin pressure)</v>
      </c>
    </row>
    <row r="5" ht="22.5" customHeight="1">
      <c r="A5" s="6" t="s">
        <v>40</v>
      </c>
      <c r="B5" s="6" t="s">
        <v>40</v>
      </c>
      <c r="C5" s="6" t="s">
        <v>28</v>
      </c>
      <c r="D5" s="7">
        <v>4.5</v>
      </c>
      <c r="E5" s="6">
        <v>6.0</v>
      </c>
      <c r="F5" s="6">
        <v>0.3</v>
      </c>
      <c r="G5" s="7">
        <f t="shared" si="1"/>
        <v>4.05</v>
      </c>
      <c r="H5" s="7">
        <f t="shared" si="6"/>
        <v>3.75</v>
      </c>
      <c r="I5" s="7">
        <f t="shared" si="2"/>
        <v>4.2</v>
      </c>
      <c r="J5" s="4">
        <v>0.0</v>
      </c>
      <c r="K5" s="6" t="s">
        <v>29</v>
      </c>
      <c r="L5" s="6" t="s">
        <v>30</v>
      </c>
      <c r="M5" s="12">
        <v>46196.6486226852</v>
      </c>
      <c r="N5" s="6" t="str">
        <f t="shared" si="3"/>
        <v>⚠️ STALE DATA (&gt;1HR)</v>
      </c>
      <c r="O5" s="9" t="s">
        <v>35</v>
      </c>
      <c r="P5" s="9"/>
      <c r="Q5" s="10"/>
      <c r="R5" s="10"/>
      <c r="S5" s="10"/>
      <c r="T5" s="10"/>
      <c r="U5" s="9">
        <f t="shared" si="4"/>
        <v>2</v>
      </c>
      <c r="V5" s="9" t="str">
        <f t="shared" si="5"/>
        <v>Mixed / Watch</v>
      </c>
      <c r="W5" s="11"/>
      <c r="X5" s="11" t="s">
        <v>41</v>
      </c>
      <c r="Y5" s="11">
        <f>IFERROR(__xludf.DUMMYFUNCTION("GOOGLEFINANCE(""COPX"")"),76.18)</f>
        <v>76.18</v>
      </c>
      <c r="Z5" s="11">
        <f>IFERROR(__xludf.DUMMYFUNCTION("AVERAGE(QUERY(GOOGLEFINANCE(""NYSEARCA:COPX"", ""price"", TODAY()-80, TODAY()), ""SELECT Col2 ORDER BY Col1 DESC LIMIT 50"", 0))"),83.89659999999999)</f>
        <v>83.8966</v>
      </c>
      <c r="AA5" s="11" t="str">
        <f>IFERROR(__xludf.DUMMYFUNCTION("IF(X5&gt;AVERAGE(INDEX(GOOGLEFINANCE(""COPX"", ""price"", TODAY()-50, TODAY()), 0, 2)), ""🚀 DC DEMAND EXPANSION (COPX above 50-day SMA - Structural cooling &amp; grid buildout supportive for NEXTDC/MRVL)"", ""📉 COMMODITY RE-ACCUMULATION (COPX below 50-day SMA "&amp;"- Base building / macro consolidation)"")"),"🚀 DC DEMAND EXPANSION (COPX above 50-day SMA - Structural cooling &amp; grid buildout supportive for NEXTDC/MRVL)")</f>
        <v>🚀 DC DEMAND EXPANSION (COPX above 50-day SMA - Structural cooling &amp; grid buildout supportive for NEXTDC/MRVL)</v>
      </c>
    </row>
    <row r="6" ht="22.5" customHeight="1">
      <c r="A6" s="6" t="s">
        <v>42</v>
      </c>
      <c r="B6" s="6" t="s">
        <v>42</v>
      </c>
      <c r="C6" s="6" t="s">
        <v>28</v>
      </c>
      <c r="D6" s="7">
        <v>1.2</v>
      </c>
      <c r="E6" s="6">
        <v>2.0</v>
      </c>
      <c r="F6" s="6">
        <v>0.1</v>
      </c>
      <c r="G6" s="7">
        <f t="shared" si="1"/>
        <v>1.05</v>
      </c>
      <c r="H6" s="7">
        <f t="shared" si="6"/>
        <v>0.95</v>
      </c>
      <c r="I6" s="7">
        <f t="shared" si="2"/>
        <v>1.1</v>
      </c>
      <c r="J6" s="4">
        <v>0.0</v>
      </c>
      <c r="K6" s="6" t="s">
        <v>29</v>
      </c>
      <c r="L6" s="6" t="s">
        <v>38</v>
      </c>
      <c r="M6" s="12">
        <v>46196.6486226852</v>
      </c>
      <c r="N6" s="6" t="str">
        <f t="shared" si="3"/>
        <v>⚠️ STALE DATA (&gt;1HR)</v>
      </c>
      <c r="O6" s="9" t="s">
        <v>35</v>
      </c>
      <c r="P6" s="9"/>
      <c r="Q6" s="10"/>
      <c r="R6" s="10"/>
      <c r="S6" s="10"/>
      <c r="T6" s="10"/>
      <c r="U6" s="9">
        <f t="shared" si="4"/>
        <v>0</v>
      </c>
      <c r="V6" s="9" t="str">
        <f t="shared" si="5"/>
        <v>Mixed / Watch</v>
      </c>
      <c r="W6" s="11"/>
      <c r="X6" s="11" t="s">
        <v>43</v>
      </c>
      <c r="Y6" s="11">
        <f>IFERROR(__xludf.DUMMYFUNCTION("GOOGLEFINANCE(""GLD"")"),373.63)</f>
        <v>373.63</v>
      </c>
      <c r="Z6" s="11">
        <f>IFERROR(__xludf.DUMMYFUNCTION("AVERAGE(QUERY(GOOGLEFINANCE(""NYSEARCA:GLD"", ""price"", TODAY()-80, TODAY()), ""SELECT Col2 ORDER BY Col1 DESC LIMIT 50"", 0))"),411.8132)</f>
        <v>411.8132</v>
      </c>
      <c r="AA6" s="11" t="str">
        <f>IFERROR(__xludf.DUMMYFUNCTION("IF(X6&gt;AVERAGE(INDEX(GOOGLEFINANCE(""GLD"", ""price"", TODAY()-50, TODAY()), 0, 2)), ""📈 MONETARY DEBASEMENT HEDGE (Gold above 50-day SMA - Defensive/liquidity preservation focus active)"", ""📉 RISK-ON SIDELINES (Gold below 50-day SMA - Capital rotating "&amp;"heavily to tech/cryptos)"")"),"📈 MONETARY DEBASEMENT HEDGE (Gold above 50-day SMA - Defensive/liquidity preservation focus active)")</f>
        <v>📈 MONETARY DEBASEMENT HEDGE (Gold above 50-day SMA - Defensive/liquidity preservation focus active)</v>
      </c>
    </row>
    <row r="7" ht="22.5" customHeight="1">
      <c r="A7" s="6" t="s">
        <v>44</v>
      </c>
      <c r="B7" s="6" t="s">
        <v>44</v>
      </c>
      <c r="C7" s="6" t="s">
        <v>28</v>
      </c>
      <c r="D7" s="7">
        <v>0.85</v>
      </c>
      <c r="E7" s="6">
        <v>1.1</v>
      </c>
      <c r="F7" s="6">
        <v>0.05</v>
      </c>
      <c r="G7" s="7">
        <f t="shared" si="1"/>
        <v>0.775</v>
      </c>
      <c r="H7" s="7">
        <f t="shared" si="6"/>
        <v>0.725</v>
      </c>
      <c r="I7" s="7">
        <f t="shared" si="2"/>
        <v>0.8</v>
      </c>
      <c r="J7" s="4">
        <v>0.0</v>
      </c>
      <c r="K7" s="6" t="s">
        <v>29</v>
      </c>
      <c r="L7" s="6" t="s">
        <v>30</v>
      </c>
      <c r="M7" s="12">
        <v>46196.6486226852</v>
      </c>
      <c r="N7" s="6" t="str">
        <f t="shared" si="3"/>
        <v>⚠️ STALE DATA (&gt;1HR)</v>
      </c>
      <c r="O7" s="9" t="s">
        <v>35</v>
      </c>
      <c r="P7" s="9"/>
      <c r="Q7" s="10"/>
      <c r="R7" s="10"/>
      <c r="S7" s="10"/>
      <c r="T7" s="10"/>
      <c r="U7" s="9">
        <f t="shared" si="4"/>
        <v>2</v>
      </c>
      <c r="V7" s="9" t="str">
        <f t="shared" si="5"/>
        <v>Mixed / Watch</v>
      </c>
      <c r="W7" s="11"/>
      <c r="X7" s="11"/>
      <c r="Y7" s="11"/>
      <c r="Z7" s="11"/>
    </row>
    <row r="8" ht="26.25" customHeight="1">
      <c r="A8" s="13" t="s">
        <v>45</v>
      </c>
      <c r="B8" s="13" t="s">
        <v>45</v>
      </c>
      <c r="C8" s="13" t="s">
        <v>28</v>
      </c>
      <c r="D8" s="14">
        <v>2.1</v>
      </c>
      <c r="E8" s="13">
        <v>3.5</v>
      </c>
      <c r="F8" s="13">
        <v>0.15</v>
      </c>
      <c r="G8" s="15">
        <f t="shared" si="1"/>
        <v>1.875</v>
      </c>
      <c r="H8" s="15">
        <f t="shared" si="6"/>
        <v>1.725</v>
      </c>
      <c r="I8" s="15">
        <f t="shared" si="2"/>
        <v>1.95</v>
      </c>
      <c r="J8" s="13">
        <v>0.0</v>
      </c>
      <c r="K8" s="13" t="s">
        <v>29</v>
      </c>
      <c r="L8" s="13" t="s">
        <v>38</v>
      </c>
      <c r="M8" s="16">
        <v>46196.6486226852</v>
      </c>
      <c r="N8" s="17" t="str">
        <f t="shared" si="3"/>
        <v>⚠️ STALE DATA (&gt;1HR)</v>
      </c>
      <c r="O8" s="9" t="s">
        <v>35</v>
      </c>
      <c r="P8" s="9"/>
      <c r="Q8" s="10"/>
      <c r="R8" s="10"/>
      <c r="S8" s="9"/>
      <c r="T8" s="10"/>
      <c r="U8" s="9">
        <f t="shared" si="4"/>
        <v>0</v>
      </c>
      <c r="V8" s="9" t="str">
        <f t="shared" si="5"/>
        <v>Mixed / Watch</v>
      </c>
      <c r="W8" s="11"/>
      <c r="X8" s="11"/>
      <c r="Y8" s="11"/>
      <c r="Z8" s="11"/>
    </row>
    <row r="9" ht="26.25" customHeight="1">
      <c r="A9" s="13" t="s">
        <v>46</v>
      </c>
      <c r="B9" s="13" t="s">
        <v>46</v>
      </c>
      <c r="C9" s="13" t="s">
        <v>28</v>
      </c>
      <c r="D9" s="14">
        <v>0.45</v>
      </c>
      <c r="E9" s="13">
        <v>0.6</v>
      </c>
      <c r="F9" s="13">
        <v>0.03</v>
      </c>
      <c r="G9" s="15">
        <f t="shared" si="1"/>
        <v>0.405</v>
      </c>
      <c r="H9" s="15">
        <f t="shared" si="6"/>
        <v>0.375</v>
      </c>
      <c r="I9" s="15">
        <f t="shared" si="2"/>
        <v>0.42</v>
      </c>
      <c r="J9" s="13">
        <v>0.0</v>
      </c>
      <c r="K9" s="13" t="s">
        <v>29</v>
      </c>
      <c r="L9" s="13" t="s">
        <v>30</v>
      </c>
      <c r="M9" s="16">
        <v>46196.6486226852</v>
      </c>
      <c r="N9" s="17" t="str">
        <f t="shared" si="3"/>
        <v>⚠️ STALE DATA (&gt;1HR)</v>
      </c>
      <c r="O9" s="9" t="s">
        <v>35</v>
      </c>
      <c r="P9" s="9"/>
      <c r="Q9" s="10"/>
      <c r="R9" s="10"/>
      <c r="S9" s="9"/>
      <c r="T9" s="10"/>
      <c r="U9" s="9">
        <f t="shared" si="4"/>
        <v>2</v>
      </c>
      <c r="V9" s="9" t="str">
        <f t="shared" si="5"/>
        <v>Mixed / Watch</v>
      </c>
      <c r="W9" s="11"/>
      <c r="X9" s="11"/>
      <c r="Y9" s="11"/>
      <c r="Z9" s="11"/>
    </row>
    <row r="10" ht="26.25" customHeight="1">
      <c r="A10" s="13" t="s">
        <v>47</v>
      </c>
      <c r="B10" s="13" t="s">
        <v>47</v>
      </c>
      <c r="C10" s="13" t="s">
        <v>28</v>
      </c>
      <c r="D10" s="14">
        <v>1.5</v>
      </c>
      <c r="E10" s="13">
        <v>2.2</v>
      </c>
      <c r="F10" s="13">
        <v>0.12</v>
      </c>
      <c r="G10" s="15">
        <f t="shared" si="1"/>
        <v>1.32</v>
      </c>
      <c r="H10" s="15">
        <f t="shared" si="6"/>
        <v>1.2</v>
      </c>
      <c r="I10" s="15">
        <f t="shared" si="2"/>
        <v>1.38</v>
      </c>
      <c r="J10" s="13">
        <v>0.0</v>
      </c>
      <c r="K10" s="13" t="s">
        <v>29</v>
      </c>
      <c r="L10" s="13" t="s">
        <v>30</v>
      </c>
      <c r="M10" s="16">
        <v>46196.6486226852</v>
      </c>
      <c r="N10" s="17" t="str">
        <f t="shared" si="3"/>
        <v>⚠️ STALE DATA (&gt;1HR)</v>
      </c>
      <c r="O10" s="9" t="s">
        <v>35</v>
      </c>
      <c r="P10" s="9"/>
      <c r="Q10" s="10"/>
      <c r="R10" s="10"/>
      <c r="S10" s="9"/>
      <c r="T10" s="10"/>
      <c r="U10" s="9">
        <f t="shared" si="4"/>
        <v>2</v>
      </c>
      <c r="V10" s="9" t="str">
        <f t="shared" si="5"/>
        <v>Mixed / Watch</v>
      </c>
      <c r="W10" s="11"/>
      <c r="X10" s="11"/>
      <c r="Y10" s="11"/>
      <c r="Z10" s="11"/>
    </row>
    <row r="11" ht="26.25" customHeight="1">
      <c r="A11" s="13" t="s">
        <v>48</v>
      </c>
      <c r="B11" s="13" t="s">
        <v>48</v>
      </c>
      <c r="C11" s="13" t="s">
        <v>28</v>
      </c>
      <c r="D11" s="14">
        <v>0.1</v>
      </c>
      <c r="E11" s="13">
        <v>0.25</v>
      </c>
      <c r="F11" s="13">
        <v>0.01</v>
      </c>
      <c r="G11" s="15">
        <f t="shared" si="1"/>
        <v>0.085</v>
      </c>
      <c r="H11" s="15">
        <f t="shared" si="6"/>
        <v>0.075</v>
      </c>
      <c r="I11" s="15">
        <f t="shared" si="2"/>
        <v>0.09</v>
      </c>
      <c r="J11" s="13">
        <v>0.0</v>
      </c>
      <c r="K11" s="13" t="s">
        <v>29</v>
      </c>
      <c r="L11" s="13" t="s">
        <v>38</v>
      </c>
      <c r="M11" s="16">
        <v>46196.6486226852</v>
      </c>
      <c r="N11" s="17" t="str">
        <f t="shared" si="3"/>
        <v>⚠️ STALE DATA (&gt;1HR)</v>
      </c>
      <c r="O11" s="9" t="s">
        <v>35</v>
      </c>
      <c r="P11" s="9"/>
      <c r="Q11" s="10"/>
      <c r="R11" s="10"/>
      <c r="S11" s="9"/>
      <c r="T11" s="10"/>
      <c r="U11" s="9">
        <f t="shared" si="4"/>
        <v>0</v>
      </c>
      <c r="V11" s="9" t="str">
        <f t="shared" si="5"/>
        <v>Mixed / Watch</v>
      </c>
      <c r="W11" s="11"/>
      <c r="X11" s="11"/>
      <c r="Y11" s="11"/>
      <c r="Z11" s="11"/>
    </row>
    <row r="12" ht="26.25" customHeight="1">
      <c r="A12" s="13" t="s">
        <v>49</v>
      </c>
      <c r="B12" s="13" t="s">
        <v>49</v>
      </c>
      <c r="C12" s="13" t="s">
        <v>28</v>
      </c>
      <c r="D12" s="14">
        <v>145.0</v>
      </c>
      <c r="E12" s="13">
        <v>210.0</v>
      </c>
      <c r="F12" s="13">
        <v>8.5</v>
      </c>
      <c r="G12" s="15">
        <f t="shared" si="1"/>
        <v>132.25</v>
      </c>
      <c r="H12" s="15">
        <f t="shared" si="6"/>
        <v>123.75</v>
      </c>
      <c r="I12" s="15">
        <f t="shared" si="2"/>
        <v>136.5</v>
      </c>
      <c r="J12" s="13">
        <v>0.0</v>
      </c>
      <c r="K12" s="13" t="s">
        <v>29</v>
      </c>
      <c r="L12" s="13" t="s">
        <v>30</v>
      </c>
      <c r="M12" s="16">
        <v>46196.6486226852</v>
      </c>
      <c r="N12" s="17" t="str">
        <f t="shared" si="3"/>
        <v>⚠️ STALE DATA (&gt;1HR)</v>
      </c>
      <c r="O12" s="9" t="s">
        <v>35</v>
      </c>
      <c r="P12" s="9"/>
      <c r="Q12" s="10"/>
      <c r="R12" s="10"/>
      <c r="S12" s="9"/>
      <c r="T12" s="10"/>
      <c r="U12" s="9">
        <f t="shared" si="4"/>
        <v>2</v>
      </c>
      <c r="V12" s="9" t="str">
        <f t="shared" si="5"/>
        <v>Mixed / Watch</v>
      </c>
      <c r="W12" s="11"/>
      <c r="X12" s="11"/>
      <c r="Y12" s="11"/>
      <c r="Z12" s="11"/>
    </row>
    <row r="13" ht="26.25" customHeight="1">
      <c r="A13" s="13" t="s">
        <v>50</v>
      </c>
      <c r="B13" s="13" t="s">
        <v>50</v>
      </c>
      <c r="C13" s="13" t="s">
        <v>28</v>
      </c>
      <c r="D13" s="14">
        <v>1.15</v>
      </c>
      <c r="E13" s="13">
        <v>1.8</v>
      </c>
      <c r="F13" s="13">
        <v>0.08</v>
      </c>
      <c r="G13" s="15">
        <f t="shared" si="1"/>
        <v>1.03</v>
      </c>
      <c r="H13" s="15">
        <f t="shared" si="6"/>
        <v>0.95</v>
      </c>
      <c r="I13" s="15">
        <f t="shared" si="2"/>
        <v>1.07</v>
      </c>
      <c r="J13" s="13">
        <v>0.0</v>
      </c>
      <c r="K13" s="13" t="s">
        <v>29</v>
      </c>
      <c r="L13" s="13" t="s">
        <v>30</v>
      </c>
      <c r="M13" s="16">
        <v>46196.6486226852</v>
      </c>
      <c r="N13" s="17" t="str">
        <f t="shared" si="3"/>
        <v>⚠️ STALE DATA (&gt;1HR)</v>
      </c>
      <c r="O13" s="9" t="s">
        <v>35</v>
      </c>
      <c r="P13" s="9"/>
      <c r="Q13" s="10"/>
      <c r="R13" s="10"/>
      <c r="S13" s="9"/>
      <c r="T13" s="10"/>
      <c r="U13" s="9">
        <f t="shared" si="4"/>
        <v>2</v>
      </c>
      <c r="V13" s="9" t="str">
        <f t="shared" si="5"/>
        <v>Mixed / Watch</v>
      </c>
      <c r="W13" s="11"/>
      <c r="X13" s="11"/>
      <c r="Y13" s="11"/>
      <c r="Z13" s="11"/>
    </row>
    <row r="14" ht="26.25" customHeight="1">
      <c r="A14" s="13" t="s">
        <v>51</v>
      </c>
      <c r="B14" s="13" t="s">
        <v>52</v>
      </c>
      <c r="C14" s="13" t="s">
        <v>53</v>
      </c>
      <c r="D14" s="14">
        <v>37.45</v>
      </c>
      <c r="E14" s="13">
        <v>45.2</v>
      </c>
      <c r="F14" s="13">
        <v>0.65</v>
      </c>
      <c r="G14" s="15">
        <f t="shared" si="1"/>
        <v>36.475</v>
      </c>
      <c r="H14" s="15">
        <f t="shared" si="6"/>
        <v>35.825</v>
      </c>
      <c r="I14" s="15">
        <f t="shared" si="2"/>
        <v>36.8</v>
      </c>
      <c r="J14" s="13">
        <v>0.0</v>
      </c>
      <c r="K14" s="13" t="s">
        <v>54</v>
      </c>
      <c r="L14" s="13" t="s">
        <v>55</v>
      </c>
      <c r="M14" s="16">
        <v>46196.6423958333</v>
      </c>
      <c r="N14" s="17" t="str">
        <f t="shared" si="3"/>
        <v>⚠️ STALE DATA (&gt;1HR)</v>
      </c>
      <c r="O14" s="9" t="s">
        <v>35</v>
      </c>
      <c r="P14" s="9"/>
      <c r="Q14" s="10"/>
      <c r="R14" s="10"/>
      <c r="S14" s="9"/>
      <c r="T14" s="10"/>
      <c r="U14" s="9">
        <f t="shared" si="4"/>
        <v>0</v>
      </c>
      <c r="V14" s="9" t="str">
        <f t="shared" si="5"/>
        <v>Mixed / Watch</v>
      </c>
      <c r="W14" s="11"/>
      <c r="X14" s="11"/>
      <c r="Y14" s="11"/>
      <c r="Z14" s="11"/>
    </row>
    <row r="15" ht="26.25" customHeight="1">
      <c r="A15" s="13" t="s">
        <v>56</v>
      </c>
      <c r="B15" s="13" t="s">
        <v>57</v>
      </c>
      <c r="C15" s="13" t="s">
        <v>58</v>
      </c>
      <c r="D15" s="14">
        <v>192.35</v>
      </c>
      <c r="E15" s="13">
        <v>199.62</v>
      </c>
      <c r="F15" s="13">
        <v>3.45</v>
      </c>
      <c r="G15" s="15">
        <f t="shared" si="1"/>
        <v>187.175</v>
      </c>
      <c r="H15" s="15">
        <f t="shared" si="6"/>
        <v>183.725</v>
      </c>
      <c r="I15" s="15">
        <f t="shared" si="2"/>
        <v>188.9</v>
      </c>
      <c r="J15" s="13">
        <v>0.0</v>
      </c>
      <c r="K15" s="13" t="s">
        <v>59</v>
      </c>
      <c r="L15" s="13" t="s">
        <v>38</v>
      </c>
      <c r="M15" s="16">
        <v>46196.6423958333</v>
      </c>
      <c r="N15" s="17" t="str">
        <f t="shared" si="3"/>
        <v>⚠️ STALE DATA (&gt;1HR)</v>
      </c>
      <c r="O15" s="9" t="s">
        <v>35</v>
      </c>
      <c r="P15" s="9"/>
      <c r="Q15" s="10"/>
      <c r="R15" s="10"/>
      <c r="S15" s="9"/>
      <c r="T15" s="10"/>
      <c r="U15" s="9">
        <f t="shared" si="4"/>
        <v>0</v>
      </c>
      <c r="V15" s="9" t="str">
        <f t="shared" si="5"/>
        <v>Mixed / Watch</v>
      </c>
      <c r="W15" s="11"/>
      <c r="X15" s="11"/>
      <c r="Y15" s="11"/>
      <c r="Z15" s="11"/>
    </row>
    <row r="16" ht="26.25" customHeight="1">
      <c r="A16" s="13" t="s">
        <v>60</v>
      </c>
      <c r="B16" s="13" t="s">
        <v>61</v>
      </c>
      <c r="C16" s="13" t="s">
        <v>58</v>
      </c>
      <c r="D16" s="14">
        <v>45.0</v>
      </c>
      <c r="E16" s="13">
        <v>60.0</v>
      </c>
      <c r="F16" s="13">
        <v>2.5</v>
      </c>
      <c r="G16" s="15">
        <f t="shared" si="1"/>
        <v>41.25</v>
      </c>
      <c r="H16" s="15">
        <f t="shared" si="6"/>
        <v>38.75</v>
      </c>
      <c r="I16" s="15">
        <f t="shared" si="2"/>
        <v>42.5</v>
      </c>
      <c r="J16" s="13">
        <v>0.0</v>
      </c>
      <c r="K16" s="13" t="s">
        <v>62</v>
      </c>
      <c r="L16" s="13" t="s">
        <v>30</v>
      </c>
      <c r="M16" s="16">
        <v>46196.6486226852</v>
      </c>
      <c r="N16" s="17" t="str">
        <f t="shared" si="3"/>
        <v>⚠️ STALE DATA (&gt;1HR)</v>
      </c>
      <c r="O16" s="9" t="s">
        <v>35</v>
      </c>
      <c r="P16" s="9"/>
      <c r="Q16" s="10"/>
      <c r="R16" s="10"/>
      <c r="S16" s="9"/>
      <c r="T16" s="10"/>
      <c r="U16" s="9">
        <f t="shared" si="4"/>
        <v>2</v>
      </c>
      <c r="V16" s="9" t="str">
        <f t="shared" si="5"/>
        <v>Mixed / Watch</v>
      </c>
      <c r="W16" s="11"/>
      <c r="X16" s="11"/>
      <c r="Y16" s="11"/>
      <c r="Z16" s="11"/>
    </row>
    <row r="17" ht="51.75" customHeight="1">
      <c r="A17" s="13" t="s">
        <v>63</v>
      </c>
      <c r="B17" s="13" t="s">
        <v>64</v>
      </c>
      <c r="C17" s="13" t="s">
        <v>58</v>
      </c>
      <c r="D17" s="14">
        <v>165.0</v>
      </c>
      <c r="E17" s="13">
        <v>210.0</v>
      </c>
      <c r="F17" s="13">
        <v>6.5</v>
      </c>
      <c r="G17" s="15">
        <f t="shared" si="1"/>
        <v>155.25</v>
      </c>
      <c r="H17" s="15">
        <f t="shared" si="6"/>
        <v>148.75</v>
      </c>
      <c r="I17" s="15">
        <f t="shared" si="2"/>
        <v>158.5</v>
      </c>
      <c r="J17" s="13">
        <v>0.0</v>
      </c>
      <c r="K17" s="13" t="s">
        <v>62</v>
      </c>
      <c r="L17" s="13" t="s">
        <v>30</v>
      </c>
      <c r="M17" s="16">
        <v>46196.6486226852</v>
      </c>
      <c r="N17" s="17" t="str">
        <f t="shared" si="3"/>
        <v>⚠️ STALE DATA (&gt;1HR)</v>
      </c>
      <c r="O17" s="9" t="s">
        <v>35</v>
      </c>
      <c r="P17" s="9"/>
      <c r="Q17" s="10"/>
      <c r="R17" s="10"/>
      <c r="S17" s="9"/>
      <c r="T17" s="10"/>
      <c r="U17" s="9">
        <f t="shared" si="4"/>
        <v>2</v>
      </c>
      <c r="V17" s="9" t="str">
        <f t="shared" si="5"/>
        <v>Mixed / Watch</v>
      </c>
      <c r="W17" s="11"/>
      <c r="X17" s="11"/>
      <c r="Y17" s="11"/>
      <c r="Z17" s="11"/>
    </row>
    <row r="18" ht="26.25" customHeight="1">
      <c r="A18" s="13" t="s">
        <v>65</v>
      </c>
      <c r="B18" s="13" t="s">
        <v>66</v>
      </c>
      <c r="C18" s="13" t="s">
        <v>58</v>
      </c>
      <c r="D18" s="14">
        <v>185.0</v>
      </c>
      <c r="E18" s="13">
        <v>195.0</v>
      </c>
      <c r="F18" s="13">
        <v>3.2</v>
      </c>
      <c r="G18" s="17" t="str">
        <f t="shared" si="1"/>
        <v>n/a (no tight stop)</v>
      </c>
      <c r="H18" s="15">
        <f t="shared" si="6"/>
        <v>177</v>
      </c>
      <c r="I18" s="15">
        <f t="shared" si="2"/>
        <v>181.8</v>
      </c>
      <c r="J18" s="13">
        <v>0.0</v>
      </c>
      <c r="K18" s="13" t="s">
        <v>59</v>
      </c>
      <c r="L18" s="13" t="s">
        <v>30</v>
      </c>
      <c r="M18" s="16">
        <v>46196.6486226852</v>
      </c>
      <c r="N18" s="17" t="str">
        <f t="shared" si="3"/>
        <v>⚠️ STALE DATA (&gt;1HR)</v>
      </c>
      <c r="O18" s="9" t="s">
        <v>31</v>
      </c>
      <c r="P18" s="9"/>
      <c r="Q18" s="10"/>
      <c r="R18" s="10"/>
      <c r="S18" s="9"/>
      <c r="T18" s="10"/>
      <c r="U18" s="9">
        <f t="shared" si="4"/>
        <v>2</v>
      </c>
      <c r="V18" s="9" t="str">
        <f t="shared" si="5"/>
        <v>Mixed / Watch</v>
      </c>
      <c r="W18" s="11"/>
      <c r="X18" s="11"/>
      <c r="Y18" s="11"/>
      <c r="Z18" s="11"/>
    </row>
    <row r="19" ht="26.25" customHeight="1">
      <c r="A19" s="13" t="s">
        <v>67</v>
      </c>
      <c r="B19" s="13" t="s">
        <v>68</v>
      </c>
      <c r="C19" s="13" t="s">
        <v>58</v>
      </c>
      <c r="D19" s="14">
        <v>1450.0</v>
      </c>
      <c r="E19" s="13">
        <v>1500.0</v>
      </c>
      <c r="F19" s="13">
        <v>35.0</v>
      </c>
      <c r="G19" s="15">
        <f t="shared" si="1"/>
        <v>1397.5</v>
      </c>
      <c r="H19" s="15">
        <f t="shared" si="6"/>
        <v>1362.5</v>
      </c>
      <c r="I19" s="15">
        <f t="shared" si="2"/>
        <v>1415</v>
      </c>
      <c r="J19" s="13">
        <v>0.0</v>
      </c>
      <c r="K19" s="13" t="s">
        <v>62</v>
      </c>
      <c r="L19" s="13" t="s">
        <v>30</v>
      </c>
      <c r="M19" s="16">
        <v>46196.6486226852</v>
      </c>
      <c r="N19" s="17" t="str">
        <f t="shared" si="3"/>
        <v>⚠️ STALE DATA (&gt;1HR)</v>
      </c>
      <c r="O19" s="9" t="s">
        <v>35</v>
      </c>
      <c r="P19" s="9"/>
      <c r="Q19" s="10"/>
      <c r="R19" s="10"/>
      <c r="S19" s="9"/>
      <c r="T19" s="10"/>
      <c r="U19" s="9">
        <f t="shared" si="4"/>
        <v>2</v>
      </c>
      <c r="V19" s="9" t="str">
        <f t="shared" si="5"/>
        <v>Mixed / Watch</v>
      </c>
      <c r="W19" s="11"/>
      <c r="X19" s="11"/>
      <c r="Y19" s="11"/>
      <c r="Z19" s="11"/>
    </row>
    <row r="20" ht="39.0" customHeight="1">
      <c r="A20" s="13" t="s">
        <v>69</v>
      </c>
      <c r="B20" s="13" t="s">
        <v>70</v>
      </c>
      <c r="C20" s="13" t="s">
        <v>58</v>
      </c>
      <c r="D20" s="14">
        <v>175.0</v>
      </c>
      <c r="E20" s="13">
        <v>185.0</v>
      </c>
      <c r="F20" s="13">
        <v>2.8</v>
      </c>
      <c r="G20" s="17" t="str">
        <f t="shared" si="1"/>
        <v>n/a (no tight stop)</v>
      </c>
      <c r="H20" s="15">
        <f t="shared" si="6"/>
        <v>168</v>
      </c>
      <c r="I20" s="15">
        <f t="shared" si="2"/>
        <v>172.2</v>
      </c>
      <c r="J20" s="13">
        <v>0.0</v>
      </c>
      <c r="K20" s="13" t="s">
        <v>59</v>
      </c>
      <c r="L20" s="13" t="s">
        <v>30</v>
      </c>
      <c r="M20" s="16">
        <v>46196.6486226852</v>
      </c>
      <c r="N20" s="17" t="str">
        <f t="shared" si="3"/>
        <v>⚠️ STALE DATA (&gt;1HR)</v>
      </c>
      <c r="O20" s="9" t="s">
        <v>31</v>
      </c>
      <c r="P20" s="9"/>
      <c r="Q20" s="10"/>
      <c r="R20" s="10"/>
      <c r="S20" s="9"/>
      <c r="T20" s="10"/>
      <c r="U20" s="9">
        <f t="shared" si="4"/>
        <v>2</v>
      </c>
      <c r="V20" s="9" t="str">
        <f t="shared" si="5"/>
        <v>Mixed / Watch</v>
      </c>
      <c r="W20" s="11"/>
      <c r="X20" s="11"/>
      <c r="Y20" s="11"/>
      <c r="Z20" s="11"/>
    </row>
    <row r="21" ht="39.0" customHeight="1">
      <c r="A21" s="13" t="s">
        <v>71</v>
      </c>
      <c r="B21" s="13" t="s">
        <v>72</v>
      </c>
      <c r="C21" s="13" t="s">
        <v>58</v>
      </c>
      <c r="D21" s="14">
        <v>85.0</v>
      </c>
      <c r="E21" s="13">
        <v>95.0</v>
      </c>
      <c r="F21" s="13">
        <v>1.2</v>
      </c>
      <c r="G21" s="17" t="str">
        <f t="shared" si="1"/>
        <v>n/a (no tight stop)</v>
      </c>
      <c r="H21" s="15">
        <f t="shared" si="6"/>
        <v>82</v>
      </c>
      <c r="I21" s="15">
        <f t="shared" si="2"/>
        <v>83.8</v>
      </c>
      <c r="J21" s="13">
        <v>0.0</v>
      </c>
      <c r="K21" s="13" t="s">
        <v>29</v>
      </c>
      <c r="L21" s="13" t="s">
        <v>38</v>
      </c>
      <c r="M21" s="16">
        <v>46196.6486226852</v>
      </c>
      <c r="N21" s="17" t="str">
        <f t="shared" si="3"/>
        <v>⚠️ STALE DATA (&gt;1HR)</v>
      </c>
      <c r="O21" s="9" t="s">
        <v>31</v>
      </c>
      <c r="P21" s="9"/>
      <c r="Q21" s="10"/>
      <c r="R21" s="10"/>
      <c r="S21" s="9"/>
      <c r="T21" s="10"/>
      <c r="U21" s="9">
        <f t="shared" si="4"/>
        <v>0</v>
      </c>
      <c r="V21" s="9" t="str">
        <f t="shared" si="5"/>
        <v>Mixed / Watch</v>
      </c>
      <c r="W21" s="11"/>
      <c r="X21" s="11"/>
      <c r="Y21" s="11"/>
      <c r="Z21" s="11"/>
    </row>
    <row r="22" ht="39.0" customHeight="1">
      <c r="A22" s="13" t="s">
        <v>73</v>
      </c>
      <c r="B22" s="13" t="s">
        <v>74</v>
      </c>
      <c r="C22" s="13" t="s">
        <v>58</v>
      </c>
      <c r="D22" s="14">
        <v>35.0</v>
      </c>
      <c r="E22" s="13">
        <v>45.0</v>
      </c>
      <c r="F22" s="13">
        <v>1.5</v>
      </c>
      <c r="G22" s="15">
        <f t="shared" si="1"/>
        <v>32.75</v>
      </c>
      <c r="H22" s="15">
        <f t="shared" si="6"/>
        <v>31.25</v>
      </c>
      <c r="I22" s="15">
        <f t="shared" si="2"/>
        <v>33.5</v>
      </c>
      <c r="J22" s="13">
        <v>0.0</v>
      </c>
      <c r="K22" s="13" t="s">
        <v>29</v>
      </c>
      <c r="L22" s="13" t="s">
        <v>30</v>
      </c>
      <c r="M22" s="16">
        <v>46196.6486226852</v>
      </c>
      <c r="N22" s="17" t="str">
        <f t="shared" si="3"/>
        <v>⚠️ STALE DATA (&gt;1HR)</v>
      </c>
      <c r="O22" s="9" t="s">
        <v>35</v>
      </c>
      <c r="P22" s="9"/>
      <c r="Q22" s="10"/>
      <c r="R22" s="10"/>
      <c r="S22" s="9"/>
      <c r="T22" s="10"/>
      <c r="U22" s="9">
        <f t="shared" si="4"/>
        <v>2</v>
      </c>
      <c r="V22" s="9" t="str">
        <f t="shared" si="5"/>
        <v>Mixed / Watch</v>
      </c>
      <c r="W22" s="11"/>
      <c r="X22" s="11"/>
      <c r="Y22" s="11"/>
      <c r="Z22" s="11"/>
    </row>
    <row r="23" ht="39.0" customHeight="1">
      <c r="A23" s="13" t="s">
        <v>75</v>
      </c>
      <c r="B23" s="13" t="s">
        <v>76</v>
      </c>
      <c r="C23" s="13" t="s">
        <v>58</v>
      </c>
      <c r="D23" s="14">
        <v>75.0</v>
      </c>
      <c r="E23" s="13">
        <v>90.0</v>
      </c>
      <c r="F23" s="13">
        <v>2.1</v>
      </c>
      <c r="G23" s="15">
        <f t="shared" si="1"/>
        <v>71.85</v>
      </c>
      <c r="H23" s="15">
        <f t="shared" si="6"/>
        <v>69.75</v>
      </c>
      <c r="I23" s="15">
        <f t="shared" si="2"/>
        <v>72.9</v>
      </c>
      <c r="J23" s="13">
        <v>0.0</v>
      </c>
      <c r="K23" s="13" t="s">
        <v>62</v>
      </c>
      <c r="L23" s="13" t="s">
        <v>30</v>
      </c>
      <c r="M23" s="16">
        <v>46196.6486226852</v>
      </c>
      <c r="N23" s="17" t="str">
        <f t="shared" si="3"/>
        <v>⚠️ STALE DATA (&gt;1HR)</v>
      </c>
      <c r="O23" s="9" t="s">
        <v>35</v>
      </c>
      <c r="P23" s="9"/>
      <c r="Q23" s="10"/>
      <c r="R23" s="10"/>
      <c r="S23" s="9"/>
      <c r="T23" s="10"/>
      <c r="U23" s="9">
        <f t="shared" si="4"/>
        <v>2</v>
      </c>
      <c r="V23" s="9" t="str">
        <f t="shared" si="5"/>
        <v>Mixed / Watch</v>
      </c>
      <c r="W23" s="11"/>
      <c r="X23" s="11"/>
      <c r="Y23" s="11"/>
      <c r="Z23" s="11"/>
    </row>
    <row r="24" ht="26.25" customHeight="1">
      <c r="A24" s="13" t="s">
        <v>77</v>
      </c>
      <c r="B24" s="13" t="s">
        <v>78</v>
      </c>
      <c r="C24" s="13" t="s">
        <v>58</v>
      </c>
      <c r="D24" s="14">
        <v>425.1</v>
      </c>
      <c r="E24" s="13">
        <v>430.82</v>
      </c>
      <c r="F24" s="13">
        <v>6.2</v>
      </c>
      <c r="G24" s="15">
        <f t="shared" si="1"/>
        <v>415.8</v>
      </c>
      <c r="H24" s="15">
        <f t="shared" si="6"/>
        <v>409.6</v>
      </c>
      <c r="I24" s="15">
        <f t="shared" si="2"/>
        <v>418.9</v>
      </c>
      <c r="J24" s="13">
        <v>0.0</v>
      </c>
      <c r="K24" s="13" t="s">
        <v>62</v>
      </c>
      <c r="L24" s="13" t="s">
        <v>30</v>
      </c>
      <c r="M24" s="16">
        <v>46196.6423958333</v>
      </c>
      <c r="N24" s="17" t="str">
        <f t="shared" si="3"/>
        <v>⚠️ STALE DATA (&gt;1HR)</v>
      </c>
      <c r="O24" s="9" t="s">
        <v>35</v>
      </c>
      <c r="P24" s="9"/>
      <c r="Q24" s="10"/>
      <c r="R24" s="10"/>
      <c r="S24" s="9"/>
      <c r="T24" s="10"/>
      <c r="U24" s="9">
        <f t="shared" si="4"/>
        <v>2</v>
      </c>
      <c r="V24" s="9" t="str">
        <f t="shared" si="5"/>
        <v>Mixed / Watch</v>
      </c>
      <c r="W24" s="11"/>
      <c r="X24" s="11"/>
      <c r="Y24" s="11"/>
      <c r="Z24" s="11"/>
    </row>
    <row r="25" ht="39.0" customHeight="1">
      <c r="A25" s="13" t="s">
        <v>79</v>
      </c>
      <c r="B25" s="13" t="s">
        <v>80</v>
      </c>
      <c r="C25" s="13" t="s">
        <v>58</v>
      </c>
      <c r="D25" s="14">
        <v>1550.0</v>
      </c>
      <c r="E25" s="13">
        <v>1800.0</v>
      </c>
      <c r="F25" s="13">
        <v>85.0</v>
      </c>
      <c r="G25" s="15">
        <f t="shared" si="1"/>
        <v>1422.5</v>
      </c>
      <c r="H25" s="15">
        <f t="shared" si="6"/>
        <v>1337.5</v>
      </c>
      <c r="I25" s="15">
        <f t="shared" si="2"/>
        <v>1465</v>
      </c>
      <c r="J25" s="13">
        <v>0.0</v>
      </c>
      <c r="K25" s="13" t="s">
        <v>81</v>
      </c>
      <c r="L25" s="13" t="s">
        <v>30</v>
      </c>
      <c r="M25" s="16">
        <v>46196.6486226852</v>
      </c>
      <c r="N25" s="17" t="str">
        <f t="shared" si="3"/>
        <v>⚠️ STALE DATA (&gt;1HR)</v>
      </c>
      <c r="O25" s="9" t="s">
        <v>35</v>
      </c>
      <c r="P25" s="9"/>
      <c r="Q25" s="10"/>
      <c r="R25" s="10"/>
      <c r="S25" s="9"/>
      <c r="T25" s="10"/>
      <c r="U25" s="9">
        <f t="shared" si="4"/>
        <v>2</v>
      </c>
      <c r="V25" s="9" t="str">
        <f t="shared" si="5"/>
        <v>Mixed / Watch</v>
      </c>
      <c r="W25" s="11"/>
      <c r="X25" s="11"/>
      <c r="Y25" s="11"/>
      <c r="Z25" s="11"/>
    </row>
    <row r="26" ht="39.0" customHeight="1">
      <c r="A26" s="13" t="s">
        <v>82</v>
      </c>
      <c r="B26" s="13" t="s">
        <v>83</v>
      </c>
      <c r="C26" s="13" t="s">
        <v>58</v>
      </c>
      <c r="D26" s="14">
        <v>135.0</v>
      </c>
      <c r="E26" s="13">
        <v>155.0</v>
      </c>
      <c r="F26" s="13">
        <v>4.5</v>
      </c>
      <c r="G26" s="15">
        <f t="shared" si="1"/>
        <v>128.25</v>
      </c>
      <c r="H26" s="15">
        <f t="shared" si="6"/>
        <v>123.75</v>
      </c>
      <c r="I26" s="15">
        <f t="shared" si="2"/>
        <v>130.5</v>
      </c>
      <c r="J26" s="13">
        <v>0.0</v>
      </c>
      <c r="K26" s="13" t="s">
        <v>62</v>
      </c>
      <c r="L26" s="13" t="s">
        <v>30</v>
      </c>
      <c r="M26" s="16">
        <v>46196.6486226852</v>
      </c>
      <c r="N26" s="17" t="str">
        <f t="shared" si="3"/>
        <v>⚠️ STALE DATA (&gt;1HR)</v>
      </c>
      <c r="O26" s="9" t="s">
        <v>35</v>
      </c>
      <c r="P26" s="9"/>
      <c r="Q26" s="10"/>
      <c r="R26" s="10"/>
      <c r="S26" s="9"/>
      <c r="T26" s="10"/>
      <c r="U26" s="9">
        <f t="shared" si="4"/>
        <v>2</v>
      </c>
      <c r="V26" s="9" t="str">
        <f t="shared" si="5"/>
        <v>Mixed / Watch</v>
      </c>
      <c r="W26" s="11"/>
      <c r="X26" s="11"/>
      <c r="Y26" s="11"/>
      <c r="Z26" s="11"/>
    </row>
    <row r="27" ht="26.25" customHeight="1">
      <c r="A27" s="13" t="s">
        <v>84</v>
      </c>
      <c r="B27" s="13" t="s">
        <v>85</v>
      </c>
      <c r="C27" s="13" t="s">
        <v>58</v>
      </c>
      <c r="D27" s="14">
        <v>125.6</v>
      </c>
      <c r="E27" s="13">
        <v>140.76</v>
      </c>
      <c r="F27" s="13">
        <v>5.8</v>
      </c>
      <c r="G27" s="17" t="str">
        <f t="shared" si="1"/>
        <v>n/a (no tight stop)</v>
      </c>
      <c r="H27" s="15">
        <f t="shared" si="6"/>
        <v>111.1</v>
      </c>
      <c r="I27" s="15">
        <f t="shared" si="2"/>
        <v>119.8</v>
      </c>
      <c r="J27" s="13">
        <v>0.0</v>
      </c>
      <c r="K27" s="13" t="s">
        <v>86</v>
      </c>
      <c r="L27" s="13" t="s">
        <v>87</v>
      </c>
      <c r="M27" s="16">
        <v>46196.6423958333</v>
      </c>
      <c r="N27" s="17" t="str">
        <f t="shared" si="3"/>
        <v>⚠️ STALE DATA (&gt;1HR)</v>
      </c>
      <c r="O27" s="9" t="s">
        <v>31</v>
      </c>
      <c r="P27" s="9"/>
      <c r="Q27" s="10"/>
      <c r="R27" s="10"/>
      <c r="S27" s="9"/>
      <c r="T27" s="10"/>
      <c r="U27" s="9">
        <f t="shared" si="4"/>
        <v>0</v>
      </c>
      <c r="V27" s="9" t="str">
        <f t="shared" si="5"/>
        <v>Mixed / Watch</v>
      </c>
      <c r="W27" s="11"/>
      <c r="X27" s="11"/>
      <c r="Y27" s="11"/>
      <c r="Z27" s="11"/>
    </row>
    <row r="28" ht="39.0" customHeight="1">
      <c r="A28" s="13" t="s">
        <v>88</v>
      </c>
      <c r="B28" s="13" t="s">
        <v>89</v>
      </c>
      <c r="C28" s="13" t="s">
        <v>58</v>
      </c>
      <c r="D28" s="14">
        <v>25.0</v>
      </c>
      <c r="E28" s="13">
        <v>30.0</v>
      </c>
      <c r="F28" s="13">
        <v>1.1</v>
      </c>
      <c r="G28" s="15">
        <f t="shared" si="1"/>
        <v>23.35</v>
      </c>
      <c r="H28" s="15">
        <f t="shared" si="6"/>
        <v>22.25</v>
      </c>
      <c r="I28" s="15">
        <f t="shared" si="2"/>
        <v>23.9</v>
      </c>
      <c r="J28" s="13">
        <v>0.0</v>
      </c>
      <c r="K28" s="13" t="s">
        <v>81</v>
      </c>
      <c r="L28" s="13" t="s">
        <v>38</v>
      </c>
      <c r="M28" s="16">
        <v>46196.6486226852</v>
      </c>
      <c r="N28" s="17" t="str">
        <f t="shared" si="3"/>
        <v>⚠️ STALE DATA (&gt;1HR)</v>
      </c>
      <c r="O28" s="9" t="s">
        <v>35</v>
      </c>
      <c r="P28" s="9"/>
      <c r="Q28" s="10"/>
      <c r="R28" s="10"/>
      <c r="S28" s="9"/>
      <c r="T28" s="10"/>
      <c r="U28" s="9">
        <f t="shared" si="4"/>
        <v>0</v>
      </c>
      <c r="V28" s="9" t="str">
        <f t="shared" si="5"/>
        <v>Mixed / Watch</v>
      </c>
      <c r="W28" s="11"/>
      <c r="X28" s="11"/>
      <c r="Y28" s="11"/>
      <c r="Z28" s="11"/>
    </row>
    <row r="29" ht="26.25" customHeight="1">
      <c r="A29" s="13" t="s">
        <v>90</v>
      </c>
      <c r="B29" s="13" t="s">
        <v>91</v>
      </c>
      <c r="C29" s="13" t="s">
        <v>58</v>
      </c>
      <c r="D29" s="14">
        <v>4.5</v>
      </c>
      <c r="E29" s="13">
        <v>6.5</v>
      </c>
      <c r="F29" s="13">
        <v>0.25</v>
      </c>
      <c r="G29" s="15">
        <f t="shared" si="1"/>
        <v>4.125</v>
      </c>
      <c r="H29" s="15">
        <f t="shared" si="6"/>
        <v>3.875</v>
      </c>
      <c r="I29" s="15">
        <f t="shared" si="2"/>
        <v>4.25</v>
      </c>
      <c r="J29" s="13">
        <v>0.0</v>
      </c>
      <c r="K29" s="13" t="s">
        <v>92</v>
      </c>
      <c r="L29" s="13" t="s">
        <v>38</v>
      </c>
      <c r="M29" s="16">
        <v>46196.6486226852</v>
      </c>
      <c r="N29" s="17" t="str">
        <f t="shared" si="3"/>
        <v>⚠️ STALE DATA (&gt;1HR)</v>
      </c>
      <c r="O29" s="9" t="s">
        <v>35</v>
      </c>
      <c r="P29" s="9"/>
      <c r="Q29" s="10"/>
      <c r="R29" s="10"/>
      <c r="S29" s="9"/>
      <c r="T29" s="10"/>
      <c r="U29" s="9">
        <f t="shared" si="4"/>
        <v>0</v>
      </c>
      <c r="V29" s="9" t="str">
        <f t="shared" si="5"/>
        <v>Mixed / Watch</v>
      </c>
      <c r="W29" s="11"/>
      <c r="X29" s="11"/>
      <c r="Y29" s="11"/>
      <c r="Z29" s="11"/>
    </row>
    <row r="30" ht="26.25" customHeight="1">
      <c r="A30" s="13" t="s">
        <v>93</v>
      </c>
      <c r="B30" s="13" t="s">
        <v>94</v>
      </c>
      <c r="C30" s="13" t="s">
        <v>58</v>
      </c>
      <c r="D30" s="14">
        <v>185.0</v>
      </c>
      <c r="E30" s="13">
        <v>250.0</v>
      </c>
      <c r="F30" s="13">
        <v>7.5</v>
      </c>
      <c r="G30" s="17" t="str">
        <f t="shared" si="1"/>
        <v>n/a (no tight stop)</v>
      </c>
      <c r="H30" s="15">
        <f t="shared" si="6"/>
        <v>166.25</v>
      </c>
      <c r="I30" s="15">
        <f t="shared" si="2"/>
        <v>177.5</v>
      </c>
      <c r="J30" s="13">
        <v>0.0</v>
      </c>
      <c r="K30" s="13" t="s">
        <v>81</v>
      </c>
      <c r="L30" s="13" t="s">
        <v>38</v>
      </c>
      <c r="M30" s="16">
        <v>46196.6486226852</v>
      </c>
      <c r="N30" s="17" t="str">
        <f t="shared" si="3"/>
        <v>⚠️ STALE DATA (&gt;1HR)</v>
      </c>
      <c r="O30" s="9" t="s">
        <v>31</v>
      </c>
      <c r="P30" s="9"/>
      <c r="Q30" s="10"/>
      <c r="R30" s="10"/>
      <c r="S30" s="9"/>
      <c r="T30" s="10"/>
      <c r="U30" s="9">
        <f t="shared" si="4"/>
        <v>0</v>
      </c>
      <c r="V30" s="9" t="str">
        <f t="shared" si="5"/>
        <v>Mixed / Watch</v>
      </c>
      <c r="W30" s="11"/>
      <c r="X30" s="11"/>
      <c r="Y30" s="11"/>
      <c r="Z30" s="11"/>
    </row>
    <row r="31" ht="15.75" customHeight="1">
      <c r="A31" s="9" t="s">
        <v>95</v>
      </c>
      <c r="B31" s="9" t="s">
        <v>96</v>
      </c>
      <c r="C31" s="9" t="s">
        <v>53</v>
      </c>
      <c r="D31" s="18">
        <v>9.99</v>
      </c>
      <c r="E31" s="9">
        <v>9.99</v>
      </c>
      <c r="F31" s="9">
        <v>0.371</v>
      </c>
      <c r="G31" s="18">
        <f t="shared" si="1"/>
        <v>9.4335</v>
      </c>
      <c r="H31" s="18">
        <f t="shared" si="6"/>
        <v>9.0625</v>
      </c>
      <c r="I31" s="18">
        <f t="shared" si="2"/>
        <v>9.619</v>
      </c>
      <c r="J31" s="9">
        <v>0.0</v>
      </c>
      <c r="K31" s="9" t="s">
        <v>29</v>
      </c>
      <c r="L31" s="9" t="s">
        <v>29</v>
      </c>
      <c r="M31" s="19">
        <v>46200.1540724769</v>
      </c>
      <c r="N31" s="9" t="str">
        <f t="shared" ref="N31:N33" si="7">IF(M31="","⏳ NO PRICE DATA YET",IF(NOW()-M31 &gt; TIME(1,0,0), "⚠️ STALE DATA (&gt;1HR)", "✅ AUDITED - PRICE ACCURATE"))</f>
        <v>⚠️ STALE DATA (&gt;1HR)</v>
      </c>
      <c r="O31" s="9" t="s">
        <v>35</v>
      </c>
      <c r="P31" s="9"/>
      <c r="Q31" s="10"/>
      <c r="R31" s="10"/>
      <c r="S31" s="10"/>
      <c r="T31" s="10"/>
      <c r="U31" s="9">
        <f t="shared" si="4"/>
        <v>0</v>
      </c>
      <c r="V31" s="9" t="str">
        <f t="shared" si="5"/>
        <v>Mixed / Watch</v>
      </c>
      <c r="W31" s="11"/>
      <c r="X31" s="11"/>
      <c r="Y31" s="11"/>
      <c r="Z31" s="11"/>
    </row>
    <row r="32" ht="15.75" customHeight="1">
      <c r="A32" s="9" t="s">
        <v>97</v>
      </c>
      <c r="B32" s="9" t="s">
        <v>98</v>
      </c>
      <c r="C32" s="9" t="s">
        <v>53</v>
      </c>
      <c r="D32" s="18">
        <v>5.75</v>
      </c>
      <c r="E32" s="9">
        <v>6.04</v>
      </c>
      <c r="F32" s="9">
        <v>0.17</v>
      </c>
      <c r="G32" s="18">
        <f t="shared" si="1"/>
        <v>5.495</v>
      </c>
      <c r="H32" s="18">
        <f t="shared" si="6"/>
        <v>5.325</v>
      </c>
      <c r="I32" s="18">
        <f t="shared" si="2"/>
        <v>5.58</v>
      </c>
      <c r="J32" s="9">
        <v>0.0</v>
      </c>
      <c r="K32" s="9" t="s">
        <v>29</v>
      </c>
      <c r="L32" s="9" t="s">
        <v>29</v>
      </c>
      <c r="M32" s="19">
        <v>46200.1573600232</v>
      </c>
      <c r="N32" s="9" t="str">
        <f t="shared" si="7"/>
        <v>⚠️ STALE DATA (&gt;1HR)</v>
      </c>
      <c r="O32" s="9" t="s">
        <v>35</v>
      </c>
      <c r="P32" s="9"/>
      <c r="Q32" s="10"/>
      <c r="R32" s="10"/>
      <c r="S32" s="10"/>
      <c r="T32" s="10"/>
      <c r="U32" s="9">
        <f t="shared" si="4"/>
        <v>0</v>
      </c>
      <c r="V32" s="9" t="str">
        <f t="shared" si="5"/>
        <v>Mixed / Watch</v>
      </c>
      <c r="W32" s="11"/>
      <c r="X32" s="11"/>
      <c r="Y32" s="11"/>
      <c r="Z32" s="11"/>
    </row>
    <row r="33" ht="15.75" customHeight="1">
      <c r="A33" s="9" t="s">
        <v>99</v>
      </c>
      <c r="B33" s="9" t="s">
        <v>100</v>
      </c>
      <c r="C33" s="9" t="s">
        <v>58</v>
      </c>
      <c r="D33" s="18">
        <v>94.81</v>
      </c>
      <c r="E33" s="9">
        <v>192.13</v>
      </c>
      <c r="F33" s="9">
        <v>3.52</v>
      </c>
      <c r="G33" s="18">
        <f t="shared" si="1"/>
        <v>89.53</v>
      </c>
      <c r="H33" s="18">
        <f t="shared" si="6"/>
        <v>86.01</v>
      </c>
      <c r="I33" s="18">
        <f t="shared" si="2"/>
        <v>91.29</v>
      </c>
      <c r="J33" s="9">
        <v>0.0</v>
      </c>
      <c r="K33" s="9" t="s">
        <v>29</v>
      </c>
      <c r="L33" s="9" t="s">
        <v>29</v>
      </c>
      <c r="M33" s="19">
        <v>46200.1588426042</v>
      </c>
      <c r="N33" s="9" t="str">
        <f t="shared" si="7"/>
        <v>⚠️ STALE DATA (&gt;1HR)</v>
      </c>
      <c r="O33" s="9" t="s">
        <v>35</v>
      </c>
      <c r="P33" s="9"/>
      <c r="Q33" s="10"/>
      <c r="R33" s="10"/>
      <c r="S33" s="10"/>
      <c r="T33" s="10"/>
      <c r="U33" s="9">
        <f t="shared" si="4"/>
        <v>0</v>
      </c>
      <c r="V33" s="9" t="str">
        <f t="shared" si="5"/>
        <v>Mixed / Watch</v>
      </c>
      <c r="W33" s="11"/>
      <c r="X33" s="11"/>
      <c r="Y33" s="11"/>
      <c r="Z33" s="11"/>
    </row>
    <row r="34" ht="15.75" customHeight="1">
      <c r="A34" s="11"/>
      <c r="B34" s="11"/>
      <c r="C34" s="11"/>
      <c r="D34" s="15"/>
      <c r="E34" s="11"/>
      <c r="F34" s="11"/>
      <c r="G34" s="15">
        <f>D34 - (1.5 * F34)</f>
        <v>0</v>
      </c>
      <c r="H34" s="15">
        <f>D34 - (2.5 * F34)</f>
        <v>0</v>
      </c>
      <c r="I34" s="15">
        <f>D34 - (1 * F34)</f>
        <v>0</v>
      </c>
      <c r="J34" s="11"/>
      <c r="K34" s="11"/>
      <c r="L34" s="11"/>
      <c r="M34" s="11"/>
      <c r="N34" s="11"/>
      <c r="O34" s="11"/>
      <c r="P34" s="11"/>
      <c r="Q34" s="20"/>
      <c r="R34" s="20"/>
      <c r="S34" s="20"/>
      <c r="T34" s="20"/>
      <c r="U34" s="11"/>
      <c r="W34" s="11"/>
      <c r="X34" s="11"/>
      <c r="Y34" s="11"/>
      <c r="Z34" s="11"/>
    </row>
    <row r="35" ht="15.75" customHeight="1">
      <c r="A35" s="11"/>
      <c r="B35" s="11"/>
      <c r="C35" s="11"/>
      <c r="D35" s="15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20"/>
      <c r="R35" s="20"/>
      <c r="S35" s="20"/>
      <c r="T35" s="20"/>
      <c r="U35" s="11"/>
      <c r="W35" s="11"/>
      <c r="X35" s="11"/>
      <c r="Y35" s="11"/>
      <c r="Z35" s="11"/>
    </row>
    <row r="36" ht="15.75" customHeight="1">
      <c r="A36" s="11"/>
      <c r="B36" s="11"/>
      <c r="C36" s="11"/>
      <c r="D36" s="15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20"/>
      <c r="R36" s="20"/>
      <c r="S36" s="20"/>
      <c r="T36" s="20"/>
      <c r="U36" s="11"/>
      <c r="W36" s="11"/>
      <c r="X36" s="11"/>
      <c r="Y36" s="11"/>
      <c r="Z36" s="11"/>
    </row>
    <row r="37" ht="15.75" customHeight="1">
      <c r="A37" s="11"/>
      <c r="B37" s="11"/>
      <c r="C37" s="11"/>
      <c r="D37" s="15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20"/>
      <c r="R37" s="20"/>
      <c r="S37" s="20"/>
      <c r="T37" s="20"/>
      <c r="U37" s="11"/>
      <c r="W37" s="11"/>
      <c r="X37" s="11"/>
      <c r="Y37" s="11"/>
      <c r="Z37" s="11"/>
    </row>
    <row r="38" ht="15.75" customHeight="1">
      <c r="A38" s="11"/>
      <c r="B38" s="11"/>
      <c r="C38" s="11"/>
      <c r="D38" s="15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20"/>
      <c r="R38" s="20"/>
      <c r="S38" s="20"/>
      <c r="T38" s="20"/>
      <c r="U38" s="11"/>
      <c r="W38" s="11"/>
      <c r="X38" s="11"/>
      <c r="Y38" s="11"/>
      <c r="Z38" s="11"/>
    </row>
    <row r="39" ht="15.75" customHeight="1">
      <c r="A39" s="11"/>
      <c r="B39" s="11"/>
      <c r="C39" s="11"/>
      <c r="D39" s="15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20"/>
      <c r="R39" s="20"/>
      <c r="S39" s="20"/>
      <c r="T39" s="20"/>
      <c r="U39" s="11"/>
      <c r="W39" s="11"/>
      <c r="X39" s="11"/>
      <c r="Y39" s="11"/>
      <c r="Z39" s="11"/>
    </row>
    <row r="40" ht="15.75" customHeight="1">
      <c r="A40" s="11"/>
      <c r="B40" s="11"/>
      <c r="C40" s="11"/>
      <c r="D40" s="15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20"/>
      <c r="R40" s="20"/>
      <c r="S40" s="20"/>
      <c r="T40" s="20"/>
      <c r="U40" s="11"/>
      <c r="W40" s="11"/>
      <c r="X40" s="11"/>
      <c r="Y40" s="11"/>
      <c r="Z40" s="11"/>
    </row>
    <row r="41" ht="15.75" customHeight="1">
      <c r="A41" s="11"/>
      <c r="B41" s="11"/>
      <c r="C41" s="11"/>
      <c r="D41" s="15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20"/>
      <c r="R41" s="20"/>
      <c r="S41" s="20"/>
      <c r="T41" s="20"/>
      <c r="U41" s="11"/>
      <c r="W41" s="11"/>
      <c r="X41" s="11"/>
      <c r="Y41" s="11"/>
      <c r="Z41" s="11"/>
    </row>
    <row r="42" ht="15.75" customHeight="1">
      <c r="A42" s="11"/>
      <c r="B42" s="11"/>
      <c r="C42" s="11"/>
      <c r="D42" s="15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20"/>
      <c r="R42" s="20"/>
      <c r="S42" s="20"/>
      <c r="T42" s="20"/>
      <c r="U42" s="11"/>
      <c r="W42" s="11"/>
      <c r="X42" s="11"/>
      <c r="Y42" s="11"/>
      <c r="Z42" s="11"/>
    </row>
    <row r="43" ht="15.75" customHeight="1">
      <c r="A43" s="11"/>
      <c r="B43" s="11"/>
      <c r="C43" s="11"/>
      <c r="D43" s="15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20"/>
      <c r="R43" s="20"/>
      <c r="S43" s="20"/>
      <c r="T43" s="20"/>
      <c r="U43" s="11"/>
      <c r="W43" s="11"/>
      <c r="X43" s="11"/>
      <c r="Y43" s="11"/>
      <c r="Z43" s="11"/>
    </row>
    <row r="44" ht="15.75" customHeight="1">
      <c r="A44" s="11"/>
      <c r="B44" s="11"/>
      <c r="C44" s="11"/>
      <c r="D44" s="15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20"/>
      <c r="R44" s="20"/>
      <c r="S44" s="20"/>
      <c r="T44" s="20"/>
      <c r="U44" s="11"/>
      <c r="W44" s="11"/>
      <c r="X44" s="11"/>
      <c r="Y44" s="11"/>
      <c r="Z44" s="11"/>
    </row>
    <row r="45" ht="15.75" customHeight="1">
      <c r="A45" s="11"/>
      <c r="B45" s="11"/>
      <c r="C45" s="11"/>
      <c r="D45" s="15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20"/>
      <c r="R45" s="20"/>
      <c r="S45" s="20"/>
      <c r="T45" s="20"/>
      <c r="U45" s="11"/>
      <c r="W45" s="11"/>
      <c r="X45" s="11"/>
      <c r="Y45" s="11"/>
      <c r="Z45" s="11"/>
    </row>
    <row r="46" ht="15.75" customHeight="1">
      <c r="A46" s="11"/>
      <c r="B46" s="11"/>
      <c r="C46" s="11"/>
      <c r="D46" s="15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20"/>
      <c r="R46" s="20"/>
      <c r="S46" s="20"/>
      <c r="T46" s="20"/>
      <c r="U46" s="11"/>
      <c r="W46" s="11"/>
      <c r="X46" s="11"/>
      <c r="Y46" s="11"/>
      <c r="Z46" s="11"/>
    </row>
    <row r="47" ht="15.75" customHeight="1">
      <c r="A47" s="11"/>
      <c r="B47" s="11"/>
      <c r="C47" s="11"/>
      <c r="D47" s="15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20"/>
      <c r="R47" s="20"/>
      <c r="S47" s="20"/>
      <c r="T47" s="20"/>
      <c r="U47" s="11"/>
      <c r="W47" s="11"/>
      <c r="X47" s="11"/>
      <c r="Y47" s="11"/>
      <c r="Z47" s="11"/>
    </row>
    <row r="48" ht="15.75" customHeight="1">
      <c r="A48" s="11"/>
      <c r="B48" s="11"/>
      <c r="C48" s="11"/>
      <c r="D48" s="15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20"/>
      <c r="R48" s="20"/>
      <c r="S48" s="20"/>
      <c r="T48" s="20"/>
      <c r="U48" s="11"/>
      <c r="W48" s="11"/>
      <c r="X48" s="11"/>
      <c r="Y48" s="11"/>
      <c r="Z48" s="11"/>
    </row>
    <row r="49" ht="15.75" customHeight="1">
      <c r="A49" s="11"/>
      <c r="B49" s="11"/>
      <c r="C49" s="11"/>
      <c r="D49" s="15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20"/>
      <c r="R49" s="20"/>
      <c r="S49" s="20"/>
      <c r="T49" s="20"/>
      <c r="U49" s="11"/>
      <c r="W49" s="11"/>
      <c r="X49" s="11"/>
      <c r="Y49" s="11"/>
      <c r="Z49" s="11"/>
    </row>
    <row r="50" ht="15.75" customHeight="1">
      <c r="A50" s="11"/>
      <c r="B50" s="11"/>
      <c r="C50" s="11"/>
      <c r="D50" s="15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20"/>
      <c r="R50" s="20"/>
      <c r="S50" s="20"/>
      <c r="T50" s="20"/>
      <c r="U50" s="11"/>
      <c r="W50" s="11"/>
      <c r="X50" s="11"/>
      <c r="Y50" s="11"/>
      <c r="Z50" s="11"/>
    </row>
    <row r="51" ht="15.75" customHeight="1">
      <c r="A51" s="11"/>
      <c r="B51" s="11"/>
      <c r="C51" s="11"/>
      <c r="D51" s="15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20"/>
      <c r="R51" s="20"/>
      <c r="S51" s="20"/>
      <c r="T51" s="20"/>
      <c r="U51" s="11"/>
      <c r="W51" s="11"/>
      <c r="X51" s="11"/>
      <c r="Y51" s="11"/>
      <c r="Z51" s="11"/>
    </row>
    <row r="52" ht="15.75" customHeight="1">
      <c r="A52" s="11"/>
      <c r="B52" s="11"/>
      <c r="C52" s="11"/>
      <c r="D52" s="15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20"/>
      <c r="R52" s="20"/>
      <c r="S52" s="20"/>
      <c r="T52" s="20"/>
      <c r="U52" s="11"/>
      <c r="W52" s="11"/>
      <c r="X52" s="11"/>
      <c r="Y52" s="11"/>
      <c r="Z52" s="11"/>
    </row>
    <row r="53" ht="15.75" customHeight="1">
      <c r="A53" s="11"/>
      <c r="B53" s="11"/>
      <c r="C53" s="11"/>
      <c r="D53" s="15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20"/>
      <c r="R53" s="20"/>
      <c r="S53" s="20"/>
      <c r="T53" s="20"/>
      <c r="U53" s="11"/>
      <c r="W53" s="11"/>
      <c r="X53" s="11"/>
      <c r="Y53" s="11"/>
      <c r="Z53" s="11"/>
    </row>
    <row r="54" ht="15.75" customHeight="1">
      <c r="A54" s="11"/>
      <c r="B54" s="11"/>
      <c r="C54" s="11"/>
      <c r="D54" s="15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20"/>
      <c r="R54" s="20"/>
      <c r="S54" s="20"/>
      <c r="T54" s="20"/>
      <c r="U54" s="11"/>
      <c r="W54" s="11"/>
      <c r="X54" s="11"/>
      <c r="Y54" s="11"/>
      <c r="Z54" s="11"/>
    </row>
    <row r="55" ht="15.75" customHeight="1">
      <c r="A55" s="11"/>
      <c r="B55" s="11"/>
      <c r="C55" s="11"/>
      <c r="D55" s="15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20"/>
      <c r="R55" s="20"/>
      <c r="S55" s="20"/>
      <c r="T55" s="20"/>
      <c r="U55" s="11"/>
      <c r="W55" s="11"/>
      <c r="X55" s="11"/>
      <c r="Y55" s="11"/>
      <c r="Z55" s="11"/>
    </row>
    <row r="56" ht="15.75" customHeight="1">
      <c r="A56" s="11"/>
      <c r="B56" s="11"/>
      <c r="C56" s="11"/>
      <c r="D56" s="15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20"/>
      <c r="R56" s="20"/>
      <c r="S56" s="20"/>
      <c r="T56" s="20"/>
      <c r="U56" s="11"/>
      <c r="W56" s="11"/>
      <c r="X56" s="11"/>
      <c r="Y56" s="11"/>
      <c r="Z56" s="11"/>
    </row>
    <row r="57" ht="15.75" customHeight="1">
      <c r="A57" s="11"/>
      <c r="B57" s="11"/>
      <c r="C57" s="11"/>
      <c r="D57" s="15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20"/>
      <c r="R57" s="20"/>
      <c r="S57" s="20"/>
      <c r="T57" s="20"/>
      <c r="U57" s="11"/>
      <c r="W57" s="11"/>
      <c r="X57" s="11"/>
      <c r="Y57" s="11"/>
      <c r="Z57" s="11"/>
    </row>
    <row r="58" ht="15.75" customHeight="1">
      <c r="A58" s="11"/>
      <c r="B58" s="11"/>
      <c r="C58" s="11"/>
      <c r="D58" s="15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20"/>
      <c r="R58" s="20"/>
      <c r="S58" s="20"/>
      <c r="T58" s="20"/>
      <c r="U58" s="11"/>
      <c r="W58" s="11"/>
      <c r="X58" s="11"/>
      <c r="Y58" s="11"/>
      <c r="Z58" s="11"/>
    </row>
    <row r="59" ht="15.75" customHeight="1">
      <c r="A59" s="11"/>
      <c r="B59" s="11"/>
      <c r="C59" s="11"/>
      <c r="D59" s="15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20"/>
      <c r="R59" s="20"/>
      <c r="S59" s="20"/>
      <c r="T59" s="20"/>
      <c r="U59" s="11"/>
      <c r="W59" s="11"/>
      <c r="X59" s="11"/>
      <c r="Y59" s="11"/>
      <c r="Z59" s="11"/>
    </row>
    <row r="60" ht="15.75" customHeight="1">
      <c r="A60" s="11"/>
      <c r="B60" s="11"/>
      <c r="C60" s="11"/>
      <c r="D60" s="15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20"/>
      <c r="R60" s="20"/>
      <c r="S60" s="20"/>
      <c r="T60" s="20"/>
      <c r="U60" s="11"/>
      <c r="W60" s="11"/>
      <c r="X60" s="11"/>
      <c r="Y60" s="11"/>
      <c r="Z60" s="11"/>
    </row>
    <row r="61" ht="15.75" customHeight="1">
      <c r="A61" s="11"/>
      <c r="B61" s="11"/>
      <c r="C61" s="11"/>
      <c r="D61" s="15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20"/>
      <c r="R61" s="20"/>
      <c r="S61" s="20"/>
      <c r="T61" s="20"/>
      <c r="U61" s="11"/>
      <c r="W61" s="11"/>
      <c r="X61" s="11"/>
      <c r="Y61" s="11"/>
      <c r="Z61" s="11"/>
    </row>
    <row r="62" ht="15.75" customHeight="1">
      <c r="A62" s="11"/>
      <c r="B62" s="11"/>
      <c r="C62" s="11"/>
      <c r="D62" s="15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20"/>
      <c r="R62" s="20"/>
      <c r="S62" s="20"/>
      <c r="T62" s="20"/>
      <c r="U62" s="11"/>
      <c r="W62" s="11"/>
      <c r="X62" s="11"/>
      <c r="Y62" s="11"/>
      <c r="Z62" s="11"/>
    </row>
    <row r="63" ht="15.75" customHeight="1">
      <c r="A63" s="11"/>
      <c r="B63" s="11"/>
      <c r="C63" s="11"/>
      <c r="D63" s="15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20"/>
      <c r="R63" s="20"/>
      <c r="S63" s="20"/>
      <c r="T63" s="20"/>
      <c r="U63" s="11"/>
      <c r="W63" s="11"/>
      <c r="X63" s="11"/>
      <c r="Y63" s="11"/>
      <c r="Z63" s="11"/>
    </row>
    <row r="64" ht="15.75" customHeight="1">
      <c r="A64" s="11"/>
      <c r="B64" s="11"/>
      <c r="C64" s="11"/>
      <c r="D64" s="15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20"/>
      <c r="R64" s="20"/>
      <c r="S64" s="20"/>
      <c r="T64" s="20"/>
      <c r="U64" s="11"/>
      <c r="W64" s="11"/>
      <c r="X64" s="11"/>
      <c r="Y64" s="11"/>
      <c r="Z64" s="11"/>
    </row>
    <row r="65" ht="15.75" customHeight="1">
      <c r="A65" s="11"/>
      <c r="B65" s="11"/>
      <c r="C65" s="11"/>
      <c r="D65" s="15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20"/>
      <c r="R65" s="20"/>
      <c r="S65" s="20"/>
      <c r="T65" s="20"/>
      <c r="U65" s="11"/>
      <c r="W65" s="11"/>
      <c r="X65" s="11"/>
      <c r="Y65" s="11"/>
      <c r="Z65" s="11"/>
    </row>
    <row r="66" ht="15.75" customHeight="1">
      <c r="A66" s="11"/>
      <c r="B66" s="11"/>
      <c r="C66" s="11"/>
      <c r="D66" s="15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20"/>
      <c r="R66" s="20"/>
      <c r="S66" s="20"/>
      <c r="T66" s="20"/>
      <c r="U66" s="11"/>
      <c r="W66" s="11"/>
      <c r="X66" s="11"/>
      <c r="Y66" s="11"/>
      <c r="Z66" s="11"/>
    </row>
    <row r="67" ht="15.75" customHeight="1">
      <c r="A67" s="11"/>
      <c r="B67" s="11"/>
      <c r="C67" s="11"/>
      <c r="D67" s="15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20"/>
      <c r="R67" s="20"/>
      <c r="S67" s="20"/>
      <c r="T67" s="20"/>
      <c r="U67" s="11"/>
      <c r="W67" s="11"/>
      <c r="X67" s="11"/>
      <c r="Y67" s="11"/>
      <c r="Z67" s="11"/>
    </row>
    <row r="68" ht="15.75" customHeight="1">
      <c r="A68" s="11"/>
      <c r="B68" s="11"/>
      <c r="C68" s="11"/>
      <c r="D68" s="15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20"/>
      <c r="R68" s="20"/>
      <c r="S68" s="20"/>
      <c r="T68" s="20"/>
      <c r="U68" s="11"/>
      <c r="W68" s="11"/>
      <c r="X68" s="11"/>
      <c r="Y68" s="11"/>
      <c r="Z68" s="11"/>
    </row>
    <row r="69" ht="15.75" customHeight="1">
      <c r="A69" s="11"/>
      <c r="B69" s="11"/>
      <c r="C69" s="11"/>
      <c r="D69" s="15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20"/>
      <c r="R69" s="20"/>
      <c r="S69" s="20"/>
      <c r="T69" s="20"/>
      <c r="U69" s="11"/>
      <c r="W69" s="11"/>
      <c r="X69" s="11"/>
      <c r="Y69" s="11"/>
      <c r="Z69" s="11"/>
    </row>
    <row r="70" ht="15.75" customHeight="1">
      <c r="A70" s="11"/>
      <c r="B70" s="11"/>
      <c r="C70" s="11"/>
      <c r="D70" s="15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20"/>
      <c r="R70" s="20"/>
      <c r="S70" s="20"/>
      <c r="T70" s="20"/>
      <c r="U70" s="11"/>
      <c r="W70" s="11"/>
      <c r="X70" s="11"/>
      <c r="Y70" s="11"/>
      <c r="Z70" s="11"/>
    </row>
    <row r="71" ht="15.75" customHeight="1">
      <c r="A71" s="11"/>
      <c r="B71" s="11"/>
      <c r="C71" s="11"/>
      <c r="D71" s="15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20"/>
      <c r="R71" s="20"/>
      <c r="S71" s="20"/>
      <c r="T71" s="20"/>
      <c r="U71" s="11"/>
      <c r="W71" s="11"/>
      <c r="X71" s="11"/>
      <c r="Y71" s="11"/>
      <c r="Z71" s="11"/>
    </row>
    <row r="72" ht="15.75" customHeight="1">
      <c r="A72" s="11"/>
      <c r="B72" s="11"/>
      <c r="C72" s="11"/>
      <c r="D72" s="15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20"/>
      <c r="R72" s="20"/>
      <c r="S72" s="20"/>
      <c r="T72" s="20"/>
      <c r="U72" s="11"/>
      <c r="W72" s="11"/>
      <c r="X72" s="11"/>
      <c r="Y72" s="11"/>
      <c r="Z72" s="11"/>
    </row>
    <row r="73" ht="15.75" customHeight="1">
      <c r="A73" s="11"/>
      <c r="B73" s="11"/>
      <c r="C73" s="11"/>
      <c r="D73" s="15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20"/>
      <c r="R73" s="20"/>
      <c r="S73" s="20"/>
      <c r="T73" s="20"/>
      <c r="U73" s="11"/>
      <c r="W73" s="11"/>
      <c r="X73" s="11"/>
      <c r="Y73" s="11"/>
      <c r="Z73" s="11"/>
    </row>
    <row r="74" ht="15.75" customHeight="1">
      <c r="A74" s="11"/>
      <c r="B74" s="11"/>
      <c r="C74" s="11"/>
      <c r="D74" s="15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20"/>
      <c r="R74" s="20"/>
      <c r="S74" s="20"/>
      <c r="T74" s="20"/>
      <c r="U74" s="11"/>
      <c r="W74" s="11"/>
      <c r="X74" s="11"/>
      <c r="Y74" s="11"/>
      <c r="Z74" s="11"/>
    </row>
    <row r="75" ht="15.75" customHeight="1">
      <c r="A75" s="11"/>
      <c r="B75" s="11"/>
      <c r="C75" s="11"/>
      <c r="D75" s="15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20"/>
      <c r="R75" s="20"/>
      <c r="S75" s="20"/>
      <c r="T75" s="20"/>
      <c r="U75" s="11"/>
      <c r="W75" s="11"/>
      <c r="X75" s="11"/>
      <c r="Y75" s="11"/>
      <c r="Z75" s="11"/>
    </row>
    <row r="76" ht="15.75" customHeight="1">
      <c r="A76" s="11"/>
      <c r="B76" s="11"/>
      <c r="C76" s="11"/>
      <c r="D76" s="15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20"/>
      <c r="R76" s="20"/>
      <c r="S76" s="20"/>
      <c r="T76" s="20"/>
      <c r="U76" s="11"/>
      <c r="W76" s="11"/>
      <c r="X76" s="11"/>
      <c r="Y76" s="11"/>
      <c r="Z76" s="11"/>
    </row>
    <row r="77" ht="15.75" customHeight="1">
      <c r="A77" s="11"/>
      <c r="B77" s="11"/>
      <c r="C77" s="11"/>
      <c r="D77" s="15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20"/>
      <c r="R77" s="20"/>
      <c r="S77" s="20"/>
      <c r="T77" s="20"/>
      <c r="U77" s="11"/>
      <c r="W77" s="11"/>
      <c r="X77" s="11"/>
      <c r="Y77" s="11"/>
      <c r="Z77" s="11"/>
    </row>
    <row r="78" ht="15.75" customHeight="1">
      <c r="A78" s="11"/>
      <c r="B78" s="11"/>
      <c r="C78" s="11"/>
      <c r="D78" s="15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20"/>
      <c r="R78" s="20"/>
      <c r="S78" s="20"/>
      <c r="T78" s="20"/>
      <c r="U78" s="11"/>
      <c r="W78" s="11"/>
      <c r="X78" s="11"/>
      <c r="Y78" s="11"/>
      <c r="Z78" s="11"/>
    </row>
    <row r="79" ht="15.75" customHeight="1">
      <c r="A79" s="11"/>
      <c r="B79" s="11"/>
      <c r="C79" s="11"/>
      <c r="D79" s="15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20"/>
      <c r="R79" s="20"/>
      <c r="S79" s="20"/>
      <c r="T79" s="20"/>
      <c r="U79" s="11"/>
      <c r="W79" s="11"/>
      <c r="X79" s="11"/>
      <c r="Y79" s="11"/>
      <c r="Z79" s="11"/>
    </row>
    <row r="80" ht="15.75" customHeight="1">
      <c r="A80" s="11"/>
      <c r="B80" s="11"/>
      <c r="C80" s="11"/>
      <c r="D80" s="15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20"/>
      <c r="R80" s="20"/>
      <c r="S80" s="20"/>
      <c r="T80" s="20"/>
      <c r="U80" s="11"/>
      <c r="W80" s="11"/>
      <c r="X80" s="11"/>
      <c r="Y80" s="11"/>
      <c r="Z80" s="11"/>
    </row>
    <row r="81" ht="15.75" customHeight="1">
      <c r="A81" s="11"/>
      <c r="B81" s="11"/>
      <c r="C81" s="11"/>
      <c r="D81" s="15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20"/>
      <c r="R81" s="20"/>
      <c r="S81" s="20"/>
      <c r="T81" s="20"/>
      <c r="U81" s="11"/>
      <c r="W81" s="11"/>
      <c r="X81" s="11"/>
      <c r="Y81" s="11"/>
      <c r="Z81" s="11"/>
    </row>
    <row r="82" ht="15.75" customHeight="1">
      <c r="A82" s="11"/>
      <c r="B82" s="11"/>
      <c r="C82" s="11"/>
      <c r="D82" s="15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20"/>
      <c r="R82" s="20"/>
      <c r="S82" s="20"/>
      <c r="T82" s="20"/>
      <c r="U82" s="11"/>
      <c r="W82" s="11"/>
      <c r="X82" s="11"/>
      <c r="Y82" s="11"/>
      <c r="Z82" s="11"/>
    </row>
    <row r="83" ht="15.75" customHeight="1">
      <c r="A83" s="11"/>
      <c r="B83" s="11"/>
      <c r="C83" s="11"/>
      <c r="D83" s="15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20"/>
      <c r="R83" s="20"/>
      <c r="S83" s="20"/>
      <c r="T83" s="20"/>
      <c r="U83" s="11"/>
      <c r="W83" s="11"/>
      <c r="X83" s="11"/>
      <c r="Y83" s="11"/>
      <c r="Z83" s="11"/>
    </row>
    <row r="84" ht="15.75" customHeight="1">
      <c r="A84" s="11"/>
      <c r="B84" s="11"/>
      <c r="C84" s="11"/>
      <c r="D84" s="15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20"/>
      <c r="R84" s="20"/>
      <c r="S84" s="20"/>
      <c r="T84" s="20"/>
      <c r="U84" s="11"/>
      <c r="W84" s="11"/>
      <c r="X84" s="11"/>
      <c r="Y84" s="11"/>
      <c r="Z84" s="11"/>
    </row>
    <row r="85" ht="15.75" customHeight="1">
      <c r="A85" s="11"/>
      <c r="B85" s="11"/>
      <c r="C85" s="11"/>
      <c r="D85" s="15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20"/>
      <c r="R85" s="20"/>
      <c r="S85" s="20"/>
      <c r="T85" s="20"/>
      <c r="U85" s="11"/>
      <c r="W85" s="11"/>
      <c r="X85" s="11"/>
      <c r="Y85" s="11"/>
      <c r="Z85" s="11"/>
    </row>
    <row r="86" ht="15.75" customHeight="1">
      <c r="A86" s="11"/>
      <c r="B86" s="11"/>
      <c r="C86" s="11"/>
      <c r="D86" s="15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20"/>
      <c r="R86" s="20"/>
      <c r="S86" s="20"/>
      <c r="T86" s="20"/>
      <c r="U86" s="11"/>
      <c r="W86" s="11"/>
      <c r="X86" s="11"/>
      <c r="Y86" s="11"/>
      <c r="Z86" s="11"/>
    </row>
    <row r="87" ht="15.75" customHeight="1">
      <c r="A87" s="11"/>
      <c r="B87" s="11"/>
      <c r="C87" s="11"/>
      <c r="D87" s="15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20"/>
      <c r="R87" s="20"/>
      <c r="S87" s="20"/>
      <c r="T87" s="20"/>
      <c r="U87" s="11"/>
      <c r="W87" s="11"/>
      <c r="X87" s="11"/>
      <c r="Y87" s="11"/>
      <c r="Z87" s="11"/>
    </row>
    <row r="88" ht="15.75" customHeight="1">
      <c r="A88" s="11"/>
      <c r="B88" s="11"/>
      <c r="C88" s="11"/>
      <c r="D88" s="15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20"/>
      <c r="R88" s="20"/>
      <c r="S88" s="20"/>
      <c r="T88" s="20"/>
      <c r="U88" s="11"/>
      <c r="W88" s="11"/>
      <c r="X88" s="11"/>
      <c r="Y88" s="11"/>
      <c r="Z88" s="11"/>
    </row>
    <row r="89" ht="15.75" customHeight="1">
      <c r="A89" s="11"/>
      <c r="B89" s="11"/>
      <c r="C89" s="11"/>
      <c r="D89" s="15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20"/>
      <c r="R89" s="20"/>
      <c r="S89" s="20"/>
      <c r="T89" s="20"/>
      <c r="U89" s="11"/>
      <c r="W89" s="11"/>
      <c r="X89" s="11"/>
      <c r="Y89" s="11"/>
      <c r="Z89" s="11"/>
    </row>
    <row r="90" ht="15.75" customHeight="1">
      <c r="A90" s="11"/>
      <c r="B90" s="11"/>
      <c r="C90" s="11"/>
      <c r="D90" s="15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20"/>
      <c r="R90" s="20"/>
      <c r="S90" s="20"/>
      <c r="T90" s="20"/>
      <c r="U90" s="11"/>
      <c r="W90" s="11"/>
      <c r="X90" s="11"/>
      <c r="Y90" s="11"/>
      <c r="Z90" s="11"/>
    </row>
    <row r="91" ht="15.75" customHeight="1">
      <c r="A91" s="11"/>
      <c r="B91" s="11"/>
      <c r="C91" s="11"/>
      <c r="D91" s="15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20"/>
      <c r="R91" s="20"/>
      <c r="S91" s="20"/>
      <c r="T91" s="20"/>
      <c r="U91" s="11"/>
      <c r="W91" s="11"/>
      <c r="X91" s="11"/>
      <c r="Y91" s="11"/>
      <c r="Z91" s="11"/>
    </row>
    <row r="92" ht="15.75" customHeight="1">
      <c r="A92" s="11"/>
      <c r="B92" s="11"/>
      <c r="C92" s="11"/>
      <c r="D92" s="15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20"/>
      <c r="R92" s="20"/>
      <c r="S92" s="20"/>
      <c r="T92" s="20"/>
      <c r="U92" s="11"/>
      <c r="W92" s="11"/>
      <c r="X92" s="11"/>
      <c r="Y92" s="11"/>
      <c r="Z92" s="11"/>
    </row>
    <row r="93" ht="15.75" customHeight="1">
      <c r="A93" s="11"/>
      <c r="B93" s="11"/>
      <c r="C93" s="11"/>
      <c r="D93" s="15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20"/>
      <c r="R93" s="20"/>
      <c r="S93" s="20"/>
      <c r="T93" s="20"/>
      <c r="U93" s="11"/>
      <c r="W93" s="11"/>
      <c r="X93" s="11"/>
      <c r="Y93" s="11"/>
      <c r="Z93" s="11"/>
    </row>
    <row r="94" ht="15.75" customHeight="1">
      <c r="A94" s="11"/>
      <c r="B94" s="11"/>
      <c r="C94" s="11"/>
      <c r="D94" s="15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20"/>
      <c r="R94" s="20"/>
      <c r="S94" s="20"/>
      <c r="T94" s="20"/>
      <c r="U94" s="11"/>
      <c r="W94" s="11"/>
      <c r="X94" s="11"/>
      <c r="Y94" s="11"/>
      <c r="Z94" s="11"/>
    </row>
    <row r="95" ht="15.75" customHeight="1">
      <c r="A95" s="11"/>
      <c r="B95" s="11"/>
      <c r="C95" s="11"/>
      <c r="D95" s="15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20"/>
      <c r="R95" s="20"/>
      <c r="S95" s="20"/>
      <c r="T95" s="20"/>
      <c r="U95" s="11"/>
      <c r="W95" s="11"/>
      <c r="X95" s="11"/>
      <c r="Y95" s="11"/>
      <c r="Z95" s="11"/>
    </row>
    <row r="96" ht="15.75" customHeight="1">
      <c r="A96" s="11"/>
      <c r="B96" s="11"/>
      <c r="C96" s="11"/>
      <c r="D96" s="15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20"/>
      <c r="R96" s="20"/>
      <c r="S96" s="20"/>
      <c r="T96" s="20"/>
      <c r="U96" s="11"/>
      <c r="W96" s="11"/>
      <c r="X96" s="11"/>
      <c r="Y96" s="11"/>
      <c r="Z96" s="11"/>
    </row>
    <row r="97" ht="15.75" customHeight="1">
      <c r="A97" s="11"/>
      <c r="B97" s="11"/>
      <c r="C97" s="11"/>
      <c r="D97" s="15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20"/>
      <c r="R97" s="20"/>
      <c r="S97" s="20"/>
      <c r="T97" s="20"/>
      <c r="U97" s="11"/>
      <c r="W97" s="11"/>
      <c r="X97" s="11"/>
      <c r="Y97" s="11"/>
      <c r="Z97" s="11"/>
    </row>
    <row r="98" ht="15.75" customHeight="1">
      <c r="A98" s="11"/>
      <c r="B98" s="11"/>
      <c r="C98" s="11"/>
      <c r="D98" s="15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20"/>
      <c r="R98" s="20"/>
      <c r="S98" s="20"/>
      <c r="T98" s="20"/>
      <c r="U98" s="11"/>
      <c r="W98" s="11"/>
      <c r="X98" s="11"/>
      <c r="Y98" s="11"/>
      <c r="Z98" s="11"/>
    </row>
    <row r="99" ht="15.75" customHeight="1">
      <c r="A99" s="11"/>
      <c r="B99" s="11"/>
      <c r="C99" s="11"/>
      <c r="D99" s="15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20"/>
      <c r="R99" s="20"/>
      <c r="S99" s="20"/>
      <c r="T99" s="20"/>
      <c r="U99" s="11"/>
      <c r="W99" s="11"/>
      <c r="X99" s="11"/>
      <c r="Y99" s="11"/>
      <c r="Z99" s="11"/>
    </row>
    <row r="100" ht="15.75" customHeight="1">
      <c r="A100" s="11"/>
      <c r="B100" s="11"/>
      <c r="C100" s="11"/>
      <c r="D100" s="15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20"/>
      <c r="R100" s="20"/>
      <c r="S100" s="20"/>
      <c r="T100" s="20"/>
      <c r="U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5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20"/>
      <c r="R101" s="20"/>
      <c r="S101" s="20"/>
      <c r="T101" s="20"/>
      <c r="U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5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20"/>
      <c r="R102" s="20"/>
      <c r="S102" s="20"/>
      <c r="T102" s="20"/>
      <c r="U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5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20"/>
      <c r="R103" s="20"/>
      <c r="S103" s="20"/>
      <c r="T103" s="20"/>
      <c r="U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5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20"/>
      <c r="R104" s="20"/>
      <c r="S104" s="20"/>
      <c r="T104" s="20"/>
      <c r="U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5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20"/>
      <c r="R105" s="20"/>
      <c r="S105" s="20"/>
      <c r="T105" s="20"/>
      <c r="U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5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20"/>
      <c r="R106" s="20"/>
      <c r="S106" s="20"/>
      <c r="T106" s="20"/>
      <c r="U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5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20"/>
      <c r="R107" s="20"/>
      <c r="S107" s="20"/>
      <c r="T107" s="20"/>
      <c r="U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5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20"/>
      <c r="R108" s="20"/>
      <c r="S108" s="20"/>
      <c r="T108" s="20"/>
      <c r="U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5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20"/>
      <c r="R109" s="20"/>
      <c r="S109" s="20"/>
      <c r="T109" s="20"/>
      <c r="U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5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20"/>
      <c r="R110" s="20"/>
      <c r="S110" s="20"/>
      <c r="T110" s="20"/>
      <c r="U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5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20"/>
      <c r="R111" s="20"/>
      <c r="S111" s="20"/>
      <c r="T111" s="20"/>
      <c r="U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5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20"/>
      <c r="R112" s="20"/>
      <c r="S112" s="20"/>
      <c r="T112" s="20"/>
      <c r="U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5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20"/>
      <c r="R113" s="20"/>
      <c r="S113" s="20"/>
      <c r="T113" s="20"/>
      <c r="U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5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20"/>
      <c r="R114" s="20"/>
      <c r="S114" s="20"/>
      <c r="T114" s="20"/>
      <c r="U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5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20"/>
      <c r="R115" s="20"/>
      <c r="S115" s="20"/>
      <c r="T115" s="20"/>
      <c r="U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5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20"/>
      <c r="R116" s="20"/>
      <c r="S116" s="20"/>
      <c r="T116" s="20"/>
      <c r="U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5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20"/>
      <c r="R117" s="20"/>
      <c r="S117" s="20"/>
      <c r="T117" s="20"/>
      <c r="U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5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20"/>
      <c r="R118" s="20"/>
      <c r="S118" s="20"/>
      <c r="T118" s="20"/>
      <c r="U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5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20"/>
      <c r="R119" s="20"/>
      <c r="S119" s="20"/>
      <c r="T119" s="20"/>
      <c r="U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5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20"/>
      <c r="R120" s="20"/>
      <c r="S120" s="20"/>
      <c r="T120" s="20"/>
      <c r="U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5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20"/>
      <c r="R121" s="20"/>
      <c r="S121" s="20"/>
      <c r="T121" s="20"/>
      <c r="U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5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20"/>
      <c r="R122" s="20"/>
      <c r="S122" s="20"/>
      <c r="T122" s="20"/>
      <c r="U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5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20"/>
      <c r="R123" s="20"/>
      <c r="S123" s="20"/>
      <c r="T123" s="20"/>
      <c r="U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5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20"/>
      <c r="R124" s="20"/>
      <c r="S124" s="20"/>
      <c r="T124" s="20"/>
      <c r="U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5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20"/>
      <c r="R125" s="20"/>
      <c r="S125" s="20"/>
      <c r="T125" s="20"/>
      <c r="U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5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20"/>
      <c r="R126" s="20"/>
      <c r="S126" s="20"/>
      <c r="T126" s="20"/>
      <c r="U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5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20"/>
      <c r="R127" s="20"/>
      <c r="S127" s="20"/>
      <c r="T127" s="20"/>
      <c r="U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5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20"/>
      <c r="R128" s="20"/>
      <c r="S128" s="20"/>
      <c r="T128" s="20"/>
      <c r="U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5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20"/>
      <c r="R129" s="20"/>
      <c r="S129" s="20"/>
      <c r="T129" s="20"/>
      <c r="U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5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20"/>
      <c r="R130" s="20"/>
      <c r="S130" s="20"/>
      <c r="T130" s="20"/>
      <c r="U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5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20"/>
      <c r="R131" s="20"/>
      <c r="S131" s="20"/>
      <c r="T131" s="20"/>
      <c r="U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5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20"/>
      <c r="R132" s="20"/>
      <c r="S132" s="20"/>
      <c r="T132" s="20"/>
      <c r="U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5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20"/>
      <c r="R133" s="20"/>
      <c r="S133" s="20"/>
      <c r="T133" s="20"/>
      <c r="U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5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20"/>
      <c r="R134" s="20"/>
      <c r="S134" s="20"/>
      <c r="T134" s="20"/>
      <c r="U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5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20"/>
      <c r="R135" s="20"/>
      <c r="S135" s="20"/>
      <c r="T135" s="20"/>
      <c r="U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5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20"/>
      <c r="R136" s="20"/>
      <c r="S136" s="20"/>
      <c r="T136" s="20"/>
      <c r="U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5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20"/>
      <c r="R137" s="20"/>
      <c r="S137" s="20"/>
      <c r="T137" s="20"/>
      <c r="U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5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20"/>
      <c r="R138" s="20"/>
      <c r="S138" s="20"/>
      <c r="T138" s="20"/>
      <c r="U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5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20"/>
      <c r="R139" s="20"/>
      <c r="S139" s="20"/>
      <c r="T139" s="20"/>
      <c r="U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5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20"/>
      <c r="R140" s="20"/>
      <c r="S140" s="20"/>
      <c r="T140" s="20"/>
      <c r="U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5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20"/>
      <c r="R141" s="20"/>
      <c r="S141" s="20"/>
      <c r="T141" s="20"/>
      <c r="U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5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20"/>
      <c r="R142" s="20"/>
      <c r="S142" s="20"/>
      <c r="T142" s="20"/>
      <c r="U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5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20"/>
      <c r="R143" s="20"/>
      <c r="S143" s="20"/>
      <c r="T143" s="20"/>
      <c r="U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5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20"/>
      <c r="R144" s="20"/>
      <c r="S144" s="20"/>
      <c r="T144" s="20"/>
      <c r="U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5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20"/>
      <c r="R145" s="20"/>
      <c r="S145" s="20"/>
      <c r="T145" s="20"/>
      <c r="U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5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20"/>
      <c r="R146" s="20"/>
      <c r="S146" s="20"/>
      <c r="T146" s="20"/>
      <c r="U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5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20"/>
      <c r="R147" s="20"/>
      <c r="S147" s="20"/>
      <c r="T147" s="20"/>
      <c r="U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5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20"/>
      <c r="R148" s="20"/>
      <c r="S148" s="20"/>
      <c r="T148" s="20"/>
      <c r="U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5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20"/>
      <c r="R149" s="20"/>
      <c r="S149" s="20"/>
      <c r="T149" s="20"/>
      <c r="U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5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20"/>
      <c r="R150" s="20"/>
      <c r="S150" s="20"/>
      <c r="T150" s="20"/>
      <c r="U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5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20"/>
      <c r="R151" s="20"/>
      <c r="S151" s="20"/>
      <c r="T151" s="20"/>
      <c r="U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5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20"/>
      <c r="R152" s="20"/>
      <c r="S152" s="20"/>
      <c r="T152" s="20"/>
      <c r="U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5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20"/>
      <c r="R153" s="20"/>
      <c r="S153" s="20"/>
      <c r="T153" s="20"/>
      <c r="U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5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20"/>
      <c r="R154" s="20"/>
      <c r="S154" s="20"/>
      <c r="T154" s="20"/>
      <c r="U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5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20"/>
      <c r="R155" s="20"/>
      <c r="S155" s="20"/>
      <c r="T155" s="20"/>
      <c r="U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5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20"/>
      <c r="R156" s="20"/>
      <c r="S156" s="20"/>
      <c r="T156" s="20"/>
      <c r="U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5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20"/>
      <c r="R157" s="20"/>
      <c r="S157" s="20"/>
      <c r="T157" s="20"/>
      <c r="U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5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20"/>
      <c r="R158" s="20"/>
      <c r="S158" s="20"/>
      <c r="T158" s="20"/>
      <c r="U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5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20"/>
      <c r="R159" s="20"/>
      <c r="S159" s="20"/>
      <c r="T159" s="20"/>
      <c r="U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5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20"/>
      <c r="R160" s="20"/>
      <c r="S160" s="20"/>
      <c r="T160" s="20"/>
      <c r="U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5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20"/>
      <c r="R161" s="20"/>
      <c r="S161" s="20"/>
      <c r="T161" s="20"/>
      <c r="U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5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20"/>
      <c r="R162" s="20"/>
      <c r="S162" s="20"/>
      <c r="T162" s="20"/>
      <c r="U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5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20"/>
      <c r="R163" s="20"/>
      <c r="S163" s="20"/>
      <c r="T163" s="20"/>
      <c r="U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5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20"/>
      <c r="R164" s="20"/>
      <c r="S164" s="20"/>
      <c r="T164" s="20"/>
      <c r="U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5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20"/>
      <c r="R165" s="20"/>
      <c r="S165" s="20"/>
      <c r="T165" s="20"/>
      <c r="U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5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20"/>
      <c r="R166" s="20"/>
      <c r="S166" s="20"/>
      <c r="T166" s="20"/>
      <c r="U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5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20"/>
      <c r="R167" s="20"/>
      <c r="S167" s="20"/>
      <c r="T167" s="20"/>
      <c r="U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5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20"/>
      <c r="R168" s="20"/>
      <c r="S168" s="20"/>
      <c r="T168" s="20"/>
      <c r="U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5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20"/>
      <c r="R169" s="20"/>
      <c r="S169" s="20"/>
      <c r="T169" s="20"/>
      <c r="U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5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20"/>
      <c r="R170" s="20"/>
      <c r="S170" s="20"/>
      <c r="T170" s="20"/>
      <c r="U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5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20"/>
      <c r="R171" s="20"/>
      <c r="S171" s="20"/>
      <c r="T171" s="20"/>
      <c r="U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5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20"/>
      <c r="R172" s="20"/>
      <c r="S172" s="20"/>
      <c r="T172" s="20"/>
      <c r="U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5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20"/>
      <c r="R173" s="20"/>
      <c r="S173" s="20"/>
      <c r="T173" s="20"/>
      <c r="U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5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20"/>
      <c r="R174" s="20"/>
      <c r="S174" s="20"/>
      <c r="T174" s="20"/>
      <c r="U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5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20"/>
      <c r="R175" s="20"/>
      <c r="S175" s="20"/>
      <c r="T175" s="20"/>
      <c r="U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5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20"/>
      <c r="R176" s="20"/>
      <c r="S176" s="20"/>
      <c r="T176" s="20"/>
      <c r="U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5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20"/>
      <c r="R177" s="20"/>
      <c r="S177" s="20"/>
      <c r="T177" s="20"/>
      <c r="U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5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20"/>
      <c r="R178" s="20"/>
      <c r="S178" s="20"/>
      <c r="T178" s="20"/>
      <c r="U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5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20"/>
      <c r="R179" s="20"/>
      <c r="S179" s="20"/>
      <c r="T179" s="20"/>
      <c r="U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5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20"/>
      <c r="R180" s="20"/>
      <c r="S180" s="20"/>
      <c r="T180" s="20"/>
      <c r="U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5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20"/>
      <c r="R181" s="20"/>
      <c r="S181" s="20"/>
      <c r="T181" s="20"/>
      <c r="U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5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20"/>
      <c r="R182" s="20"/>
      <c r="S182" s="20"/>
      <c r="T182" s="20"/>
      <c r="U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5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20"/>
      <c r="R183" s="20"/>
      <c r="S183" s="20"/>
      <c r="T183" s="20"/>
      <c r="U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5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20"/>
      <c r="R184" s="20"/>
      <c r="S184" s="20"/>
      <c r="T184" s="20"/>
      <c r="U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5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20"/>
      <c r="R185" s="20"/>
      <c r="S185" s="20"/>
      <c r="T185" s="20"/>
      <c r="U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5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20"/>
      <c r="R186" s="20"/>
      <c r="S186" s="20"/>
      <c r="T186" s="20"/>
      <c r="U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5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20"/>
      <c r="R187" s="20"/>
      <c r="S187" s="20"/>
      <c r="T187" s="20"/>
      <c r="U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5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20"/>
      <c r="R188" s="20"/>
      <c r="S188" s="20"/>
      <c r="T188" s="20"/>
      <c r="U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5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20"/>
      <c r="R189" s="20"/>
      <c r="S189" s="20"/>
      <c r="T189" s="20"/>
      <c r="U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5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20"/>
      <c r="R190" s="20"/>
      <c r="S190" s="20"/>
      <c r="T190" s="20"/>
      <c r="U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5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20"/>
      <c r="R191" s="20"/>
      <c r="S191" s="20"/>
      <c r="T191" s="20"/>
      <c r="U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5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20"/>
      <c r="R192" s="20"/>
      <c r="S192" s="20"/>
      <c r="T192" s="20"/>
      <c r="U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5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20"/>
      <c r="R193" s="20"/>
      <c r="S193" s="20"/>
      <c r="T193" s="20"/>
      <c r="U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5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20"/>
      <c r="R194" s="20"/>
      <c r="S194" s="20"/>
      <c r="T194" s="20"/>
      <c r="U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5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20"/>
      <c r="R195" s="20"/>
      <c r="S195" s="20"/>
      <c r="T195" s="20"/>
      <c r="U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5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20"/>
      <c r="R196" s="20"/>
      <c r="S196" s="20"/>
      <c r="T196" s="20"/>
      <c r="U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5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20"/>
      <c r="R197" s="20"/>
      <c r="S197" s="20"/>
      <c r="T197" s="20"/>
      <c r="U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5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20"/>
      <c r="R198" s="20"/>
      <c r="S198" s="20"/>
      <c r="T198" s="20"/>
      <c r="U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5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20"/>
      <c r="R199" s="20"/>
      <c r="S199" s="20"/>
      <c r="T199" s="20"/>
      <c r="U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5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20"/>
      <c r="R200" s="20"/>
      <c r="S200" s="20"/>
      <c r="T200" s="20"/>
      <c r="U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5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20"/>
      <c r="R201" s="20"/>
      <c r="S201" s="20"/>
      <c r="T201" s="20"/>
      <c r="U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5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20"/>
      <c r="R202" s="20"/>
      <c r="S202" s="20"/>
      <c r="T202" s="20"/>
      <c r="U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5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20"/>
      <c r="R203" s="20"/>
      <c r="S203" s="20"/>
      <c r="T203" s="20"/>
      <c r="U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5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20"/>
      <c r="R204" s="20"/>
      <c r="S204" s="20"/>
      <c r="T204" s="20"/>
      <c r="U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5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20"/>
      <c r="R205" s="20"/>
      <c r="S205" s="20"/>
      <c r="T205" s="20"/>
      <c r="U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5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20"/>
      <c r="R206" s="20"/>
      <c r="S206" s="20"/>
      <c r="T206" s="20"/>
      <c r="U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5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20"/>
      <c r="R207" s="20"/>
      <c r="S207" s="20"/>
      <c r="T207" s="20"/>
      <c r="U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5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20"/>
      <c r="R208" s="20"/>
      <c r="S208" s="20"/>
      <c r="T208" s="20"/>
      <c r="U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5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20"/>
      <c r="R209" s="20"/>
      <c r="S209" s="20"/>
      <c r="T209" s="20"/>
      <c r="U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5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20"/>
      <c r="R210" s="20"/>
      <c r="S210" s="20"/>
      <c r="T210" s="20"/>
      <c r="U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5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20"/>
      <c r="R211" s="20"/>
      <c r="S211" s="20"/>
      <c r="T211" s="20"/>
      <c r="U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5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20"/>
      <c r="R212" s="20"/>
      <c r="S212" s="20"/>
      <c r="T212" s="20"/>
      <c r="U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5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20"/>
      <c r="R213" s="20"/>
      <c r="S213" s="20"/>
      <c r="T213" s="20"/>
      <c r="U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5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20"/>
      <c r="R214" s="20"/>
      <c r="S214" s="20"/>
      <c r="T214" s="20"/>
      <c r="U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5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20"/>
      <c r="R215" s="20"/>
      <c r="S215" s="20"/>
      <c r="T215" s="20"/>
      <c r="U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5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20"/>
      <c r="R216" s="20"/>
      <c r="S216" s="20"/>
      <c r="T216" s="20"/>
      <c r="U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5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20"/>
      <c r="R217" s="20"/>
      <c r="S217" s="20"/>
      <c r="T217" s="20"/>
      <c r="U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5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20"/>
      <c r="R218" s="20"/>
      <c r="S218" s="20"/>
      <c r="T218" s="20"/>
      <c r="U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5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20"/>
      <c r="R219" s="20"/>
      <c r="S219" s="20"/>
      <c r="T219" s="20"/>
      <c r="U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5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20"/>
      <c r="R220" s="20"/>
      <c r="S220" s="20"/>
      <c r="T220" s="20"/>
      <c r="U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5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20"/>
      <c r="R221" s="20"/>
      <c r="S221" s="20"/>
      <c r="T221" s="20"/>
      <c r="U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5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20"/>
      <c r="R222" s="20"/>
      <c r="S222" s="20"/>
      <c r="T222" s="20"/>
      <c r="U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5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20"/>
      <c r="R223" s="20"/>
      <c r="S223" s="20"/>
      <c r="T223" s="20"/>
      <c r="U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5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20"/>
      <c r="R224" s="20"/>
      <c r="S224" s="20"/>
      <c r="T224" s="20"/>
      <c r="U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5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20"/>
      <c r="R225" s="20"/>
      <c r="S225" s="20"/>
      <c r="T225" s="20"/>
      <c r="U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5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20"/>
      <c r="R226" s="20"/>
      <c r="S226" s="20"/>
      <c r="T226" s="20"/>
      <c r="U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5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20"/>
      <c r="R227" s="20"/>
      <c r="S227" s="20"/>
      <c r="T227" s="20"/>
      <c r="U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5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20"/>
      <c r="R228" s="20"/>
      <c r="S228" s="20"/>
      <c r="T228" s="20"/>
      <c r="U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5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20"/>
      <c r="R229" s="20"/>
      <c r="S229" s="20"/>
      <c r="T229" s="20"/>
      <c r="U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5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20"/>
      <c r="R230" s="20"/>
      <c r="S230" s="20"/>
      <c r="T230" s="20"/>
      <c r="U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5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20"/>
      <c r="R231" s="20"/>
      <c r="S231" s="20"/>
      <c r="T231" s="20"/>
      <c r="U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5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20"/>
      <c r="R232" s="20"/>
      <c r="S232" s="20"/>
      <c r="T232" s="20"/>
      <c r="U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5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20"/>
      <c r="R233" s="20"/>
      <c r="S233" s="20"/>
      <c r="T233" s="20"/>
      <c r="U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5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20"/>
      <c r="R234" s="20"/>
      <c r="S234" s="20"/>
      <c r="T234" s="20"/>
      <c r="U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W1000" s="11"/>
      <c r="X1000" s="11"/>
      <c r="Y1000" s="11"/>
      <c r="Z1000" s="11"/>
    </row>
  </sheetData>
  <conditionalFormatting sqref="A2:N1000">
    <cfRule type="expression" dxfId="0" priority="1">
      <formula>IFERROR(FIND("⚠️", $N2)=1, 0)</formula>
    </cfRule>
  </conditionalFormatting>
  <dataValidations>
    <dataValidation type="custom" allowBlank="1" showDropDown="1" sqref="M2:M7">
      <formula1>OR(NOT(ISERROR(DATEVALUE(M2))), AND(ISNUMBER(M2), LEFT(CELL("format", M2))="D"))</formula1>
    </dataValidation>
    <dataValidation type="custom" allowBlank="1" showDropDown="1" sqref="D2:J7">
      <formula1>AND(ISNUMBER(D2),(NOT(OR(NOT(ISERROR(DATEVALUE(D2))), AND(ISNUMBER(D2), LEFT(CELL("format", D2))="D")))))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8" width="18.0"/>
    <col customWidth="1" min="9" max="9" width="30.0"/>
    <col customWidth="1" min="10" max="26" width="8.63"/>
  </cols>
  <sheetData>
    <row r="1" ht="34.5" customHeight="1">
      <c r="A1" s="2" t="s">
        <v>0</v>
      </c>
      <c r="B1" s="2" t="s">
        <v>101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  <c r="H1" s="2" t="s">
        <v>107</v>
      </c>
      <c r="I1" s="2" t="s">
        <v>108</v>
      </c>
    </row>
    <row r="2" ht="15.0" customHeight="1">
      <c r="A2" s="9" t="s">
        <v>84</v>
      </c>
      <c r="B2" s="9" t="s">
        <v>109</v>
      </c>
      <c r="C2" s="9"/>
      <c r="D2" s="9"/>
      <c r="E2" s="9"/>
      <c r="F2" s="9"/>
      <c r="G2" s="9"/>
      <c r="H2" s="9" t="s">
        <v>110</v>
      </c>
      <c r="I2" s="9" t="str">
        <f>IFERROR(VLOOKUP(A2,Master_Watchlist!A:O,15,FALSE()),"ticker not in Master_Watchlist")</f>
        <v>Core Accumulation</v>
      </c>
    </row>
    <row r="3">
      <c r="A3" s="11"/>
      <c r="B3" s="11"/>
      <c r="C3" s="11"/>
      <c r="D3" s="11"/>
      <c r="E3" s="11"/>
      <c r="F3" s="11"/>
      <c r="G3" s="11"/>
      <c r="H3" s="11"/>
      <c r="I3" s="11"/>
    </row>
    <row r="4">
      <c r="A4" s="11"/>
      <c r="B4" s="11"/>
      <c r="C4" s="11"/>
      <c r="D4" s="11"/>
      <c r="E4" s="11"/>
      <c r="F4" s="11"/>
      <c r="G4" s="11"/>
      <c r="H4" s="11"/>
      <c r="I4" s="11"/>
    </row>
    <row r="5">
      <c r="A5" s="11"/>
      <c r="B5" s="11"/>
      <c r="C5" s="11"/>
      <c r="D5" s="11"/>
      <c r="E5" s="11"/>
      <c r="F5" s="11"/>
      <c r="G5" s="11"/>
      <c r="H5" s="11"/>
      <c r="I5" s="11"/>
    </row>
    <row r="6">
      <c r="A6" s="11"/>
      <c r="B6" s="11"/>
      <c r="C6" s="11"/>
      <c r="D6" s="11"/>
      <c r="E6" s="11"/>
      <c r="F6" s="11"/>
      <c r="G6" s="11"/>
      <c r="H6" s="11"/>
      <c r="I6" s="11"/>
    </row>
    <row r="7">
      <c r="A7" s="11"/>
      <c r="B7" s="11"/>
      <c r="C7" s="11"/>
      <c r="D7" s="11"/>
      <c r="E7" s="11"/>
      <c r="F7" s="11"/>
      <c r="G7" s="11"/>
      <c r="H7" s="11"/>
      <c r="I7" s="11"/>
    </row>
    <row r="8">
      <c r="A8" s="11"/>
      <c r="B8" s="11"/>
      <c r="C8" s="11"/>
      <c r="D8" s="11"/>
      <c r="E8" s="11"/>
      <c r="F8" s="11"/>
      <c r="G8" s="11"/>
      <c r="H8" s="11"/>
      <c r="I8" s="11"/>
    </row>
    <row r="9">
      <c r="A9" s="11"/>
      <c r="B9" s="11"/>
      <c r="C9" s="11"/>
      <c r="D9" s="11"/>
      <c r="E9" s="11"/>
      <c r="F9" s="11"/>
      <c r="G9" s="11"/>
      <c r="H9" s="11"/>
      <c r="I9" s="11"/>
    </row>
    <row r="10">
      <c r="A10" s="11"/>
      <c r="B10" s="11"/>
      <c r="C10" s="11"/>
      <c r="D10" s="11"/>
      <c r="E10" s="11"/>
      <c r="F10" s="11"/>
      <c r="G10" s="11"/>
      <c r="H10" s="11"/>
      <c r="I10" s="11"/>
    </row>
    <row r="11">
      <c r="A11" s="11"/>
      <c r="B11" s="11"/>
      <c r="C11" s="11"/>
      <c r="D11" s="11"/>
      <c r="E11" s="11"/>
      <c r="F11" s="11"/>
      <c r="G11" s="11"/>
      <c r="H11" s="11"/>
      <c r="I11" s="11"/>
    </row>
    <row r="12">
      <c r="A12" s="11"/>
      <c r="B12" s="11"/>
      <c r="C12" s="11"/>
      <c r="D12" s="11"/>
      <c r="E12" s="11"/>
      <c r="F12" s="11"/>
      <c r="G12" s="11"/>
      <c r="H12" s="11"/>
      <c r="I12" s="11"/>
    </row>
    <row r="13">
      <c r="A13" s="11"/>
      <c r="B13" s="11"/>
      <c r="C13" s="11"/>
      <c r="D13" s="11"/>
      <c r="E13" s="11"/>
      <c r="F13" s="11"/>
      <c r="G13" s="11"/>
      <c r="H13" s="11"/>
      <c r="I13" s="11"/>
    </row>
    <row r="14">
      <c r="A14" s="11"/>
      <c r="B14" s="11"/>
      <c r="C14" s="11"/>
      <c r="D14" s="11"/>
      <c r="E14" s="11"/>
      <c r="F14" s="11"/>
      <c r="G14" s="11"/>
      <c r="H14" s="11"/>
      <c r="I14" s="11"/>
    </row>
    <row r="15">
      <c r="A15" s="11"/>
      <c r="B15" s="11"/>
      <c r="C15" s="11"/>
      <c r="D15" s="11"/>
      <c r="E15" s="11"/>
      <c r="F15" s="11"/>
      <c r="G15" s="11"/>
      <c r="H15" s="11"/>
      <c r="I15" s="11"/>
    </row>
    <row r="16">
      <c r="A16" s="11"/>
      <c r="B16" s="11"/>
      <c r="C16" s="11"/>
      <c r="D16" s="11"/>
      <c r="E16" s="11"/>
      <c r="F16" s="11"/>
      <c r="G16" s="11"/>
      <c r="H16" s="11"/>
      <c r="I16" s="11"/>
    </row>
    <row r="17">
      <c r="A17" s="11"/>
      <c r="B17" s="11"/>
      <c r="C17" s="11"/>
      <c r="D17" s="11"/>
      <c r="E17" s="11"/>
      <c r="F17" s="11"/>
      <c r="G17" s="11"/>
      <c r="H17" s="11"/>
      <c r="I17" s="11"/>
    </row>
    <row r="18">
      <c r="A18" s="11"/>
      <c r="B18" s="11"/>
      <c r="C18" s="11"/>
      <c r="D18" s="11"/>
      <c r="E18" s="11"/>
      <c r="F18" s="11"/>
      <c r="G18" s="11"/>
      <c r="H18" s="11"/>
      <c r="I18" s="11"/>
    </row>
    <row r="19">
      <c r="A19" s="11"/>
      <c r="B19" s="11"/>
      <c r="C19" s="11"/>
      <c r="D19" s="11"/>
      <c r="E19" s="11"/>
      <c r="F19" s="11"/>
      <c r="G19" s="11"/>
      <c r="H19" s="11"/>
      <c r="I19" s="11"/>
    </row>
    <row r="20">
      <c r="A20" s="11"/>
      <c r="B20" s="11"/>
      <c r="C20" s="11"/>
      <c r="D20" s="11"/>
      <c r="E20" s="11"/>
      <c r="F20" s="11"/>
      <c r="G20" s="11"/>
      <c r="H20" s="11"/>
      <c r="I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</row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8" width="18.0"/>
    <col customWidth="1" min="9" max="9" width="30.0"/>
    <col customWidth="1" min="10" max="26" width="8.63"/>
  </cols>
  <sheetData>
    <row r="1" ht="34.5" customHeight="1">
      <c r="A1" s="2" t="s">
        <v>0</v>
      </c>
      <c r="B1" s="2" t="s">
        <v>101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  <c r="H1" s="2" t="s">
        <v>107</v>
      </c>
      <c r="I1" s="2" t="s">
        <v>108</v>
      </c>
    </row>
    <row r="2" ht="15.0" customHeight="1">
      <c r="A2" s="9" t="s">
        <v>84</v>
      </c>
      <c r="B2" s="9" t="s">
        <v>111</v>
      </c>
      <c r="C2" s="9"/>
      <c r="D2" s="9"/>
      <c r="E2" s="9"/>
      <c r="F2" s="9"/>
      <c r="G2" s="9"/>
      <c r="H2" s="9" t="s">
        <v>110</v>
      </c>
      <c r="I2" s="9" t="str">
        <f>IFERROR(VLOOKUP(A2,Master_Watchlist!A:O,15,FALSE()),"ticker not in Master_Watchlist")</f>
        <v>Core Accumulation</v>
      </c>
    </row>
    <row r="3">
      <c r="A3" s="11"/>
      <c r="B3" s="11"/>
      <c r="C3" s="11"/>
      <c r="D3" s="11"/>
      <c r="E3" s="11"/>
      <c r="F3" s="11"/>
      <c r="G3" s="11"/>
      <c r="H3" s="11"/>
      <c r="I3" s="11"/>
    </row>
    <row r="4">
      <c r="A4" s="11"/>
      <c r="B4" s="11"/>
      <c r="C4" s="11"/>
      <c r="D4" s="11"/>
      <c r="E4" s="11"/>
      <c r="F4" s="11"/>
      <c r="G4" s="11"/>
      <c r="H4" s="11"/>
      <c r="I4" s="11"/>
    </row>
    <row r="5">
      <c r="A5" s="11"/>
      <c r="B5" s="11"/>
      <c r="C5" s="11"/>
      <c r="D5" s="11"/>
      <c r="E5" s="11"/>
      <c r="F5" s="11"/>
      <c r="G5" s="11"/>
      <c r="H5" s="11"/>
      <c r="I5" s="11"/>
    </row>
    <row r="6">
      <c r="A6" s="11"/>
      <c r="B6" s="11"/>
      <c r="C6" s="11"/>
      <c r="D6" s="11"/>
      <c r="E6" s="11"/>
      <c r="F6" s="11"/>
      <c r="G6" s="11"/>
      <c r="H6" s="11"/>
      <c r="I6" s="11"/>
    </row>
    <row r="7">
      <c r="A7" s="11"/>
      <c r="B7" s="11"/>
      <c r="C7" s="11"/>
      <c r="D7" s="11"/>
      <c r="E7" s="11"/>
      <c r="F7" s="11"/>
      <c r="G7" s="11"/>
      <c r="H7" s="11"/>
      <c r="I7" s="11"/>
    </row>
    <row r="8">
      <c r="A8" s="11"/>
      <c r="B8" s="11"/>
      <c r="C8" s="11"/>
      <c r="D8" s="11"/>
      <c r="E8" s="11"/>
      <c r="F8" s="11"/>
      <c r="G8" s="11"/>
      <c r="H8" s="11"/>
      <c r="I8" s="11"/>
    </row>
    <row r="9">
      <c r="A9" s="11"/>
      <c r="B9" s="11"/>
      <c r="C9" s="11"/>
      <c r="D9" s="11"/>
      <c r="E9" s="11"/>
      <c r="F9" s="11"/>
      <c r="G9" s="11"/>
      <c r="H9" s="11"/>
      <c r="I9" s="11"/>
    </row>
    <row r="10">
      <c r="A10" s="11"/>
      <c r="B10" s="11"/>
      <c r="C10" s="11"/>
      <c r="D10" s="11"/>
      <c r="E10" s="11"/>
      <c r="F10" s="11"/>
      <c r="G10" s="11"/>
      <c r="H10" s="11"/>
      <c r="I10" s="11"/>
    </row>
    <row r="11">
      <c r="A11" s="11"/>
      <c r="B11" s="11"/>
      <c r="C11" s="11"/>
      <c r="D11" s="11"/>
      <c r="E11" s="11"/>
      <c r="F11" s="11"/>
      <c r="G11" s="11"/>
      <c r="H11" s="11"/>
      <c r="I11" s="11"/>
    </row>
    <row r="12">
      <c r="A12" s="11"/>
      <c r="B12" s="11"/>
      <c r="C12" s="11"/>
      <c r="D12" s="11"/>
      <c r="E12" s="11"/>
      <c r="F12" s="11"/>
      <c r="G12" s="11"/>
      <c r="H12" s="11"/>
      <c r="I12" s="11"/>
    </row>
    <row r="13">
      <c r="A13" s="11"/>
      <c r="B13" s="11"/>
      <c r="C13" s="11"/>
      <c r="D13" s="11"/>
      <c r="E13" s="11"/>
      <c r="F13" s="11"/>
      <c r="G13" s="11"/>
      <c r="H13" s="11"/>
      <c r="I13" s="11"/>
    </row>
    <row r="14">
      <c r="A14" s="11"/>
      <c r="B14" s="11"/>
      <c r="C14" s="11"/>
      <c r="D14" s="11"/>
      <c r="E14" s="11"/>
      <c r="F14" s="11"/>
      <c r="G14" s="11"/>
      <c r="H14" s="11"/>
      <c r="I14" s="11"/>
    </row>
    <row r="15">
      <c r="A15" s="11"/>
      <c r="B15" s="11"/>
      <c r="C15" s="11"/>
      <c r="D15" s="11"/>
      <c r="E15" s="11"/>
      <c r="F15" s="11"/>
      <c r="G15" s="11"/>
      <c r="H15" s="11"/>
      <c r="I15" s="11"/>
    </row>
    <row r="16">
      <c r="A16" s="11"/>
      <c r="B16" s="11"/>
      <c r="C16" s="11"/>
      <c r="D16" s="11"/>
      <c r="E16" s="11"/>
      <c r="F16" s="11"/>
      <c r="G16" s="11"/>
      <c r="H16" s="11"/>
      <c r="I16" s="11"/>
    </row>
    <row r="17">
      <c r="A17" s="11"/>
      <c r="B17" s="11"/>
      <c r="C17" s="11"/>
      <c r="D17" s="11"/>
      <c r="E17" s="11"/>
      <c r="F17" s="11"/>
      <c r="G17" s="11"/>
      <c r="H17" s="11"/>
      <c r="I17" s="11"/>
    </row>
    <row r="18">
      <c r="A18" s="11"/>
      <c r="B18" s="11"/>
      <c r="C18" s="11"/>
      <c r="D18" s="11"/>
      <c r="E18" s="11"/>
      <c r="F18" s="11"/>
      <c r="G18" s="11"/>
      <c r="H18" s="11"/>
      <c r="I18" s="11"/>
    </row>
    <row r="19">
      <c r="A19" s="11"/>
      <c r="B19" s="11"/>
      <c r="C19" s="11"/>
      <c r="D19" s="11"/>
      <c r="E19" s="11"/>
      <c r="F19" s="11"/>
      <c r="G19" s="11"/>
      <c r="H19" s="11"/>
      <c r="I19" s="11"/>
    </row>
    <row r="20">
      <c r="A20" s="11"/>
      <c r="B20" s="11"/>
      <c r="C20" s="11"/>
      <c r="D20" s="11"/>
      <c r="E20" s="11"/>
      <c r="F20" s="11"/>
      <c r="G20" s="11"/>
      <c r="H20" s="11"/>
      <c r="I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</row>
  </sheetData>
  <printOptions/>
  <pageMargins bottom="1.0" footer="0.0" header="0.0" left="0.75" right="0.75" top="1.0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2026-06-24T04:48:20Z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